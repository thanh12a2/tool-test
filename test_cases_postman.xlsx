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Games\"/>
    </mc:Choice>
  </mc:AlternateContent>
  <bookViews>
    <workbookView xWindow="0" yWindow="0" windowWidth="23040" windowHeight="9492" tabRatio="643"/>
  </bookViews>
  <sheets>
    <sheet name="TỔNG QUAN" sheetId="1" r:id="rId1"/>
    <sheet name="A-F-01" sheetId="2" r:id="rId2"/>
    <sheet name="A-F-02" sheetId="3" r:id="rId3"/>
    <sheet name="A-F-03" sheetId="4" r:id="rId4"/>
    <sheet name="A-F-04" sheetId="7" r:id="rId5"/>
    <sheet name="A-F-05" sheetId="5" r:id="rId6"/>
    <sheet name="A-F-06" sheetId="6" r:id="rId7"/>
    <sheet name="A-F-07" sheetId="13" r:id="rId8"/>
    <sheet name="A-F-08+A-F-09" sheetId="8" r:id="rId9"/>
    <sheet name="A-F-10" sheetId="11" r:id="rId10"/>
    <sheet name="A-F-11" sheetId="12" r:id="rId11"/>
    <sheet name="A-F-12" sheetId="10" r:id="rId12"/>
  </sheets>
  <calcPr calcId="162913"/>
</workbook>
</file>

<file path=xl/calcChain.xml><?xml version="1.0" encoding="utf-8"?>
<calcChain xmlns="http://schemas.openxmlformats.org/spreadsheetml/2006/main">
  <c r="E17" i="1" l="1"/>
  <c r="D17" i="1"/>
  <c r="C17" i="1"/>
</calcChain>
</file>

<file path=xl/sharedStrings.xml><?xml version="1.0" encoding="utf-8"?>
<sst xmlns="http://schemas.openxmlformats.org/spreadsheetml/2006/main" count="677" uniqueCount="394">
  <si>
    <t>TEST CASES – HỆ THỐNG HỖ TRỢ ĐẶT LỊCH &amp; ĐIỀU TRỊ Y TẾ | PTIT | Nhóm QA</t>
  </si>
  <si>
    <t>Báo cáo tổng hợp toàn bộ test case theo từng nhóm chức năng</t>
  </si>
  <si>
    <t>Nhóm</t>
  </si>
  <si>
    <t>Chức năng</t>
  </si>
  <si>
    <t>Tổng TC</t>
  </si>
  <si>
    <t>Pass</t>
  </si>
  <si>
    <t>Fail/Bug</t>
  </si>
  <si>
    <t>Request Name</t>
  </si>
  <si>
    <t>Đăng nhập bằng số điện thoại</t>
  </si>
  <si>
    <t>Login phone</t>
  </si>
  <si>
    <t>Đăng nhập bằng Google</t>
  </si>
  <si>
    <t>Login email</t>
  </si>
  <si>
    <t>A-F-02</t>
  </si>
  <si>
    <t>Tạo lịch hẹn (Booking)</t>
  </si>
  <si>
    <t>patient/booking POST</t>
  </si>
  <si>
    <t>A-F-04</t>
  </si>
  <si>
    <t>view appointment history</t>
  </si>
  <si>
    <t>A-F-05</t>
  </si>
  <si>
    <t>Phác đồ điều trị</t>
  </si>
  <si>
    <t>get treatment plan</t>
  </si>
  <si>
    <t>Huỷ lịch hẹn</t>
  </si>
  <si>
    <t>cancel booking</t>
  </si>
  <si>
    <t>A-F-07</t>
  </si>
  <si>
    <t>A-F-10</t>
  </si>
  <si>
    <t>Cập nhật hồ sơ cá nhân</t>
  </si>
  <si>
    <t>update profile</t>
  </si>
  <si>
    <t>A-F-09</t>
  </si>
  <si>
    <t>Màn Home (thời tiết + danh mục)</t>
  </si>
  <si>
    <t>api weather / speciality / doctors</t>
  </si>
  <si>
    <t>TỔNG CỘNG</t>
  </si>
  <si>
    <t>TEST CASES – ĐĂNG NHẬP SỐ ĐIỆN THOẠI</t>
  </si>
  <si>
    <t>Mã Test</t>
  </si>
  <si>
    <t>Loại</t>
  </si>
  <si>
    <t>Mục tiêu</t>
  </si>
  <si>
    <t>Tiền điều kiện</t>
  </si>
  <si>
    <t>Bước thực hiện</t>
  </si>
  <si>
    <t>Dữ liệu đầu vào</t>
  </si>
  <si>
    <t>Kết quả mong đợi</t>
  </si>
  <si>
    <t>Request</t>
  </si>
  <si>
    <t>Kết quả chạy</t>
  </si>
  <si>
    <t>Performance</t>
  </si>
  <si>
    <t>TEST CASES – ĐĂNG NHẬP GOOGLE EMAIL</t>
  </si>
  <si>
    <t>TEST CASES – TẠO LỊCH HẸN (A-F-02)</t>
  </si>
  <si>
    <t>A-F-02-TC01</t>
  </si>
  <si>
    <t>EP</t>
  </si>
  <si>
    <t>A-F-02-TC02</t>
  </si>
  <si>
    <t>Bệnh nhân đã đăng nhập</t>
  </si>
  <si>
    <t>A-F-02-TC03</t>
  </si>
  <si>
    <t>BVA</t>
  </si>
  <si>
    <t>A-F-02-TC04</t>
  </si>
  <si>
    <t>A-F-02-TC05</t>
  </si>
  <si>
    <t>Xem lịch sử lịch hẹn: hiển thị đầy đủ trạng thái, ngày giờ, khoa khám, họ tên, SĐT, lý do khám</t>
  </si>
  <si>
    <t>Bệnh nhân đã đăng nhập;
Có ≥1 lịch hẹn</t>
  </si>
  <si>
    <t>1. Gửi GET /api/patient/booking</t>
  </si>
  <si>
    <t>(dùng token bệnh nhân)</t>
  </si>
  <si>
    <t>200; data là array;
mỗi item có status/date/time/service/name/phone/reason</t>
  </si>
  <si>
    <t>Xem lịch sử khi chưa có lịch hẹn: hiển thị trạng thái trống</t>
  </si>
  <si>
    <t>Bệnh nhân đã đăng nhập;
Chưa có lịch hẹn</t>
  </si>
  <si>
    <t>(dùng token bệnh nhân không có lịch hẹn)</t>
  </si>
  <si>
    <t>200; data là mảng rỗng;
quantity=0</t>
  </si>
  <si>
    <t>Pass (skip nếu có data)</t>
  </si>
  <si>
    <t>Xem chi tiết từng lịch sử khám: ngày khám, bác sĩ/khoa khám, phác đồ, bệnh án</t>
  </si>
  <si>
    <t>Bệnh nhân đã đăng nhập;
Có lịch sử khám</t>
  </si>
  <si>
    <t>1. Gửi GET /api/patient/booking/{id}</t>
  </si>
  <si>
    <t>(dùng APPOINTMENT_ID từ TC01)</t>
  </si>
  <si>
    <t>200; result=1; data có date/time/service/name/phone/reason/status/create_at/update_at</t>
  </si>
  <si>
    <t>view details appointment</t>
  </si>
  <si>
    <t>A-F-05-TC01</t>
  </si>
  <si>
    <t>Response trả về 200 và có cấu trúc (result, quantity, data là mảng)</t>
  </si>
  <si>
    <t>Bệnh nhân đã đăng nhập;
Có phác đồ điều trị</t>
  </si>
  <si>
    <t>1. Gửi GET /api/patient/treatments/{id}</t>
  </si>
  <si>
    <t>200; result=1; quantity là số;
data là array</t>
  </si>
  <si>
    <t>A-F-05-TC02</t>
  </si>
  <si>
    <t>quantity phải khớp với số lượng phần tử trong data</t>
  </si>
  <si>
    <t>quantity === data.length</t>
  </si>
  <si>
    <t>A-F-05-TC03</t>
  </si>
  <si>
    <t>Mỗi thuốc có đầy đủ: id, appointment_id, name, type, times, purpose, instruction, repeat_days, repeat_time</t>
  </si>
  <si>
    <t>Bệnh nhân đã đăng nhập;
Có phác đồ</t>
  </si>
  <si>
    <t>Mỗi item có 9 field bắt buộc;
name không rỗng; times ≥ 1</t>
  </si>
  <si>
    <t>A-F-05-TC04</t>
  </si>
  <si>
    <t>Loại thuốc (type) phải thuộc danh sách hợp lệ: Uống, Tiêm, Bôi, Ngậm, Xịt, Nhỏ mắt, Đặt</t>
  </si>
  <si>
    <t>type thuộc [Uống, Tiêm, Bôi, Ngậm, Xịt, Nhỏ mắt, Đặt]</t>
  </si>
  <si>
    <t>Fail (BUG: type='Truyền nước' không hợp lệ)</t>
  </si>
  <si>
    <t>A-F-05-TC05</t>
  </si>
  <si>
    <t>repeat_time phải đúng định dạng HH:mm (24h), không dùng AM/PM</t>
  </si>
  <si>
    <t>repeat_time match /^([01]\d|2[0-3]):[0-5]\d$/</t>
  </si>
  <si>
    <t>Fail (BUG: repeat_time='9:00 AM')</t>
  </si>
  <si>
    <t>TEST CASES – HUỶ LỊCH HẸN (CANCEL BOOKING)</t>
  </si>
  <si>
    <t>Response time &lt; 800ms cho DELETE huỷ lịch</t>
  </si>
  <si>
    <t>Bệnh nhân đã đăng nhập;
Có lịch hẹn</t>
  </si>
  <si>
    <t>1. Gửi DELETE /api/patient/booking/{id}</t>
  </si>
  <si>
    <t>Response time &lt; 800ms</t>
  </si>
  <si>
    <t>Validation</t>
  </si>
  <si>
    <t>Booking id trên URL là số nguyên dương</t>
  </si>
  <si>
    <t>1. Kiểm tra URL param id</t>
  </si>
  <si>
    <t>URL chứa /booking/111</t>
  </si>
  <si>
    <t>id match /^\d+$/;
parseInt(id) &gt; 0</t>
  </si>
  <si>
    <t>Response xác nhận huỷ thành công</t>
  </si>
  <si>
    <t>message chứa success/cancel/delete
hoặc status=cancelled</t>
  </si>
  <si>
    <t>Idempotency</t>
  </si>
  <si>
    <t>DELETE idempotent (không phá vỡ khi gọi lại)</t>
  </si>
  <si>
    <t>1. Gửi DELETE lần 2 cùng id</t>
  </si>
  <si>
    <t>Lần 2 không trả 5xx;
trả 200/204/404/410/409</t>
  </si>
  <si>
    <t>Security</t>
  </si>
  <si>
    <t>Không rò rỉ thông tin nhạy cảm hoặc dữ liệu người khác</t>
  </si>
  <si>
    <t>1. Kiểm tra response body</t>
  </si>
  <si>
    <t>Không chứa SQLSTATE/Fatal error/Stack trace;
có Authorization header</t>
  </si>
  <si>
    <t>A-F-07-TC01</t>
  </si>
  <si>
    <t>Tìm kiếm theo tên bác sĩ hợp lệ: hiển thị tên, chuyên khoa, phòng</t>
  </si>
  <si>
    <t>Bệnh nhân đã đăng nhập;
Có bác sĩ trong hệ thống</t>
  </si>
  <si>
    <t>1. Nhập tên bác sĩ vào thanh tìm kiếm
2. Gửi GET /api/doctors?search=thanh</t>
  </si>
  <si>
    <t>search=thanh; length=1</t>
  </si>
  <si>
    <t>200; data là array;
mỗi item có name/speciality/room</t>
  </si>
  <si>
    <t>search doctor</t>
  </si>
  <si>
    <t>A-F-07-TC02</t>
  </si>
  <si>
    <t>1. Nhập tên chuyên khoa
2. Gửi GET /api/specialities?search=tim</t>
  </si>
  <si>
    <t>200; data là array;
mỗi item có name</t>
  </si>
  <si>
    <t>A-F-07-TC03</t>
  </si>
  <si>
    <t>Tìm kiếm không có kết quả: trạng thái trống</t>
  </si>
  <si>
    <t>1. Nhập từ khóa không tồn tại
2. Gửi GET /api/doctors?search=zzz_khongton_...</t>
  </si>
  <si>
    <t>search=zzz_khongton_{timestamp}</t>
  </si>
  <si>
    <t>A-F-07-TC04</t>
  </si>
  <si>
    <t>Tìm kiếm với chuỗi rỗng: trả về danh sách hoặc rỗng</t>
  </si>
  <si>
    <t>1. Để trống ô tìm kiếm
2. Gửi GET /api/doctors?search=</t>
  </si>
  <si>
    <t>search=(rỗng)</t>
  </si>
  <si>
    <t>200; data là array</t>
  </si>
  <si>
    <t>A-F-07-TC05</t>
  </si>
  <si>
    <t>Tìm kiếm với một ký tự: lọc theo ký tự hoặc báo cần nhập thêm</t>
  </si>
  <si>
    <t>1. Nhập một ký tự
2. Gửi GET /api/doctors?search=N</t>
  </si>
  <si>
    <t>search=N</t>
  </si>
  <si>
    <t>200/400/422;
nếu 200 thì data là array</t>
  </si>
  <si>
    <t>Tìm kiếm ký tự đặc biệt/XSS: input được làm sạch</t>
  </si>
  <si>
    <t>1. Nhập ký tự đặc biệt
2. Gửi GET /api/doctors?search=&lt;script&gt;alert(1)&lt;/script&gt;</t>
  </si>
  <si>
    <t>search=&lt;script&gt;alert(1)&lt;/script&gt;</t>
  </si>
  <si>
    <t>200/400/422;
không echo &lt;script&gt;alert(;
nếu 200 thì data rỗng</t>
  </si>
  <si>
    <t>Tìm kiếm theo chuyên khoa: hiển thị chuyên khoa và bác sĩ liên quan</t>
  </si>
  <si>
    <t>Bệnh nhân đã đăng nhập;
Có chuyên khoa</t>
  </si>
  <si>
    <t>search=tim; length=1</t>
  </si>
  <si>
    <t>search speciality</t>
  </si>
  <si>
    <t>1. Nhập từ khóa không tồn tại
2. Gửi GET /api/specialities?search=zzz_khongton</t>
  </si>
  <si>
    <t>search=zzz_khongton</t>
  </si>
  <si>
    <t>200; data rỗng; quantity=0</t>
  </si>
  <si>
    <t>Tìm kiếm với chuỗi rỗng: trả về danh sách</t>
  </si>
  <si>
    <t>1. Để trống ô tìm kiếm
2. Gửi GET /api/specialities?search=</t>
  </si>
  <si>
    <t>Tìm kiếm với một ký tự</t>
  </si>
  <si>
    <t>1. Nhập một ký tự
2. Gửi GET /api/specialities?search=N</t>
  </si>
  <si>
    <t>Tìm kiếm ký tự đặc biệt/XSS: không có XSS, kết quả trống</t>
  </si>
  <si>
    <t>1. Nhập ký tự đặc biệt
2. Gửi GET /api/specialities?search=&lt;script&gt;alert(1)&lt;/script&gt;</t>
  </si>
  <si>
    <t>200/400/422;
không echo &lt;script&gt;;
nếu 200 thì data rỗng</t>
  </si>
  <si>
    <t>A-F-10-TC01</t>
  </si>
  <si>
    <t>A-F-10-TC02</t>
  </si>
  <si>
    <t>action=avatar</t>
  </si>
  <si>
    <t>A-F-10-TC03</t>
  </si>
  <si>
    <t>A-F-10-TC04</t>
  </si>
  <si>
    <t>A-F-10-TC05</t>
  </si>
  <si>
    <t>A-F-09-TC01</t>
  </si>
  <si>
    <t>Màn Home hiển thị nhiệt độ thời tiết: response có name và temp hợp lệ</t>
  </si>
  <si>
    <t>App đã mở màn Home</t>
  </si>
  <si>
    <t>1. Gửi GET OpenWeatherMap API</t>
  </si>
  <si>
    <t>q=Hanoi; appid=...; units=metric</t>
  </si>
  <si>
    <t>200; body có name (string);
main.temp (number −20~50);
weather[0].description</t>
  </si>
  <si>
    <t>api weather</t>
  </si>
  <si>
    <t>A-F-09-TC02</t>
  </si>
  <si>
    <t>Màn Home hiển thị danh mục chuyên khoa: danh sách có tên và ảnh</t>
  </si>
  <si>
    <t>1. Gửi GET /api/specialities?length=10</t>
  </si>
  <si>
    <t>length=10</t>
  </si>
  <si>
    <t>200; data là array không rỗng;
mỗi item có name và image</t>
  </si>
  <si>
    <t>api speciality</t>
  </si>
  <si>
    <t>A-F-09-TC03</t>
  </si>
  <si>
    <t>Màn Home hiển thị bác sĩ nổi bật: mỗi bác sĩ có tên, chuyên khoa, ảnh</t>
  </si>
  <si>
    <t>1. Gửi GET /api/doctors?length=10</t>
  </si>
  <si>
    <t>200; data là array không rỗng;
mỗi item có name/speciality/image</t>
  </si>
  <si>
    <t>api doctors</t>
  </si>
  <si>
    <t>A-F-01</t>
  </si>
  <si>
    <t>A-F-03</t>
  </si>
  <si>
    <t>A-F-06</t>
  </si>
  <si>
    <t>Bệnh án</t>
  </si>
  <si>
    <t>get medical report</t>
  </si>
  <si>
    <t>A-F-08</t>
  </si>
  <si>
    <t>A-F-11</t>
  </si>
  <si>
    <t xml:space="preserve">Tìm kiếm bác sĩ </t>
  </si>
  <si>
    <t>Tìm kiếm chuyên khoa</t>
  </si>
  <si>
    <t xml:space="preserve">search doctor </t>
  </si>
  <si>
    <t>A-F-12</t>
  </si>
  <si>
    <t>Xem hồ sơ cá nhân</t>
  </si>
  <si>
    <t>search specialities</t>
  </si>
  <si>
    <t>view profile</t>
  </si>
  <si>
    <t>view appointment history/details</t>
  </si>
  <si>
    <t>A-F-01-TC01</t>
  </si>
  <si>
    <t>Functional / Positive</t>
  </si>
  <si>
    <t>Kiểm tra status code login bằng số điện thoại trả về đúng</t>
  </si>
  <si>
    <t>Server chạy tại 192.168.1.142; tài khoản patient với SĐT 0818532508 đã tồn tại</t>
  </si>
  <si>
    <t>1. Mở request Login phone; 2. Gửi POST tới /api/login với body urlencoded; 3. Kiểm tra status code</t>
  </si>
  <si>
    <t>phone=0818532508, password=123456, type=patient</t>
  </si>
  <si>
    <t>HTTP status = 200</t>
  </si>
  <si>
    <t>POST /PTIT-Do-An-Tot-Nghiep/api/login</t>
  </si>
  <si>
    <t>A-F-01-TC02</t>
  </si>
  <si>
    <t>Response trả về đúng định dạng JSON hợp lệ</t>
  </si>
  <si>
    <t>Đã gửi request Login phone thành công</t>
  </si>
  <si>
    <t>1. Gửi request; 2. Parse body response; 3. Kiểm tra là object JSON</t>
  </si>
  <si>
    <t>Response body là JSON object hợp lệ</t>
  </si>
  <si>
    <t>Pass (dự kiến)</t>
  </si>
  <si>
    <t>A-F-01-TC03</t>
  </si>
  <si>
    <t>Non-Functional / Performance</t>
  </si>
  <si>
    <t>Đảm bảo thời gian phản hồi đăng nhập SĐT nhỏ hơn 2000ms</t>
  </si>
  <si>
    <t>Server khỏe, mạng ổn định</t>
  </si>
  <si>
    <t>1. Gửi request; 2. Đọc pm.response.responseTime; 3. So sánh &lt; 2000ms</t>
  </si>
  <si>
    <t>responseTime &lt; 2000ms</t>
  </si>
  <si>
    <t>Pass (phụ thuộc tốc độ mạng)</t>
  </si>
  <si>
    <t>A-F-01-TC04</t>
  </si>
  <si>
    <t>Response phải chứa token sau khi login thành công</t>
  </si>
  <si>
    <t>Tài khoản hợp lệ, đăng nhập đúng</t>
  </si>
  <si>
    <t>1. Gửi request; 2. Kiểm tra body có token / accessToken / data.token</t>
  </si>
  <si>
    <t>Tồn tại 1 trong các field: token, accessToken, data.token</t>
  </si>
  <si>
    <t>A-F-01-TC05</t>
  </si>
  <si>
    <t>Negative / Security (BUG)</t>
  </si>
  <si>
    <t>Hệ thống phải từ chối SĐT có hơn 10 chữ số</t>
  </si>
  <si>
    <t>Cần dùng SĐT 081853250822 (12 số) để test validation</t>
  </si>
  <si>
    <t>1. Đổi phone thành 081853250822; 2. Gửi request; 3. Kiểm tra status != 200 hoặc không có token</t>
  </si>
  <si>
    <t>phone=081853250822 (12 số), password=123456, type=patient</t>
  </si>
  <si>
    <t>Status 400/422 HOẶC không có token trong response</t>
  </si>
  <si>
    <t>A-F-01-TC06</t>
  </si>
  <si>
    <t>Functional / Data Integrity</t>
  </si>
  <si>
    <t>Thông tin user trả về khớp với dữ liệu đăng nhập</t>
  </si>
  <si>
    <t>Login thành công</t>
  </si>
  <si>
    <t>1. Gửi request; 2. Parse response; 3. Kiểm tra có chứa "patient" và thông tin phone/user</t>
  </si>
  <si>
    <t>Response chứa "patient" và có field phone/user tương ứng</t>
  </si>
  <si>
    <t>Kiểm tra status code login bằng Google email trả về đúng</t>
  </si>
  <si>
    <t>Tài khoản Google lequangthanh2004na@gmail.com đã liên kết</t>
  </si>
  <si>
    <t>1. Mở request Login email; 2. Gửi POST /api/login/google; 3. Kiểm tra status</t>
  </si>
  <si>
    <t>type=patient, email=lequangthanh2004na@gmail.com, password=google_uid_12345</t>
  </si>
  <si>
    <t>POST /PTIT-Do-An-Tot-Nghiep/api/login/google</t>
  </si>
  <si>
    <t>Response login Google trả về JSON hợp lệ</t>
  </si>
  <si>
    <t>Đã gửi request thành công</t>
  </si>
  <si>
    <t>1. Gửi request; 2. Parse body; 3. Kiểm tra là object JSON</t>
  </si>
  <si>
    <t>Response là JSON object hợp lệ</t>
  </si>
  <si>
    <t>Thời gian phản hồi login Google &lt; 2000ms</t>
  </si>
  <si>
    <t>Server + mạng ổn định</t>
  </si>
  <si>
    <t>1. Gửi request; 2. Đọc responseTime; 3. So sánh &lt; 2000</t>
  </si>
  <si>
    <t>Response login Google phải chứa token</t>
  </si>
  <si>
    <t>Login Google thành công</t>
  </si>
  <si>
    <t>1. Gửi request; 2. Kiểm tra có token/accessToken/data.token</t>
  </si>
  <si>
    <t>Tồn tại token trong response</t>
  </si>
  <si>
    <t>Functional / Data Validation</t>
  </si>
  <si>
    <t>Token trả về phải là string và không rỗng</t>
  </si>
  <si>
    <t>Login Google thành công và có token</t>
  </si>
  <si>
    <t>1. Gửi request; 2. Lấy token; 3. Kiểm tra kiểu string và khác rỗng</t>
  </si>
  <si>
    <t>token là string, không rỗng</t>
  </si>
  <si>
    <t>A-F-02-TC06</t>
  </si>
  <si>
    <t>Email user trả về khớp với email đầu vào</t>
  </si>
  <si>
    <t>1. Gửi request; 2. Parse response; 3. So sánh res.data.email với email input</t>
  </si>
  <si>
    <t>res.data.email == "lequangthanh2004na@gmail.com"</t>
  </si>
  <si>
    <t>Pass nếu API trả field data.email chính xác, ngược lại FAIL</t>
  </si>
  <si>
    <t>A-F-03-TC01</t>
  </si>
  <si>
    <t>EP / Positive</t>
  </si>
  <si>
    <t>Tạo lịch hẹn với ngày tương lai hợp lệ, trả về 200 và lưu đúng dữ liệu</t>
  </si>
  <si>
    <t>Server chạy; user đã login có JWT hợp lệ (role Patient); service_id tồn tại</t>
  </si>
  <si>
    <t>1.Gửi POST /api/patient/booking với JWT;2.Kiểm tra status 200;3.Kiểm tra response có booking id;4.Kiểm tra status='processing';5.Kiểm tra appointment_date, booking_name, booking_phone khớp input</t>
  </si>
  <si>
    <t>service_id=1, booking_name=thanhle, booking_phone=0818532508, name=thanh, gender=1, birthday=2004-06-08, address=vn, reason=none, appointment_date=2026-05-28, appointment_time=18:00, status=processing</t>
  </si>
  <si>
    <t>HTTP 200, response là JSON, có booking id, status=processing, các field input được phản ánh đúng trong response</t>
  </si>
  <si>
    <t>POST /PTIT-Do-An-Tot-Nghiep/api/patient/booking</t>
  </si>
  <si>
    <t>A-F-03-TC02</t>
  </si>
  <si>
    <t>EP / Negative Logic</t>
  </si>
  <si>
    <t>Xác nhận server KHÔNG trả lỗi 'ngày đã qua' khi appointment_date hợp lệ</t>
  </si>
  <si>
    <t>Đã có JWT; chọn ngày hợp lệ trong tương lai</t>
  </si>
  <si>
    <t>1.Gửi request với appointment_date hợp lệ;2.Kiểm tra response body không chứa cụm 'ngày đã qua', 'past', 'invalid date', 'cannot book'</t>
  </si>
  <si>
    <t>appointment_date=2026-05-28 (tương lai), các field khác như TC01</t>
  </si>
  <si>
    <t>Response KHÔNG chứa các từ khóa lỗi ngày quá khứ</t>
  </si>
  <si>
    <t>A-F-03-TC03</t>
  </si>
  <si>
    <t>BVA / Boundary</t>
  </si>
  <si>
    <t>Biên: appointment_date cách ngày hiện tại 1 ngày, time hợp lệ</t>
  </si>
  <si>
    <t>Ngày hiện tại cố định 2026-05-04</t>
  </si>
  <si>
    <t>1.Tính diffDays giữa appointment_date và hôm nay;2.Kiểm tra diffDays=1;3.Kiểm tra định dạng HH:MM;4.Kiểm tra status 200;5.Response không chứa 'invalid'</t>
  </si>
  <si>
    <t>APPT_DATE=2026-05-05, APPT_TIME=18:00, TODAY=2026-05-04 (diffDays=1)</t>
  </si>
  <si>
    <t>Status 200, response không chứa 'invalid'</t>
  </si>
  <si>
    <t>A-F-03-TC04</t>
  </si>
  <si>
    <t>Decision Table / BUG</t>
  </si>
  <si>
    <t>[BUG] Hệ thống phải cảnh báo khi SĐT đã có lịch ĐANG XỬ LÝ (duplicate active booking)</t>
  </si>
  <si>
    <t>SĐT 0818532508 đã có 1 booking status=processing tồn tại</t>
  </si>
  <si>
    <t>1.Đặt lịch mới với cùng booking_phone;2.Kiểm tra response có 409/400 HOẶC message 'đã có lịch', 'duplicate', 'conflict', 'already', 'chờ xử lý', 'existing booking'</t>
  </si>
  <si>
    <t>booking_phone=0818532508 (đã có lịch active), các field khác như TC01</t>
  </si>
  <si>
    <t>Status 409/400 hoặc message cảnh báo trùng lịch</t>
  </si>
  <si>
    <t>A-F-03-TC05</t>
  </si>
  <si>
    <t>EP / BUG</t>
  </si>
  <si>
    <t>[BUG] Hệ thống phải từ chối khi reason rỗng/không hợp lệ</t>
  </si>
  <si>
    <t>JWT hợp lệ</t>
  </si>
  <si>
    <t>1.Gửi request với reason rỗng;2.Kiểm tra response có 400/422 HOẶC message 'reason'/'lý do'/'triệu chứng'/'required'/'bắt buộc'</t>
  </si>
  <si>
    <t>reason="" (rỗng, theo script test), các field khác như TC01</t>
  </si>
  <si>
    <t>Status 400/422 hoặc có message lỗi validation reason</t>
  </si>
  <si>
    <t>Fail(Sai khi đặt 2 lịch khám 2 khoa khác nhau nhưng vẫn đặt trùng giờ được)</t>
  </si>
  <si>
    <t>Xem lịch sử lịch hẹn/chi tiết lịch hẹn</t>
  </si>
  <si>
    <t>A-F-04-TC-01</t>
  </si>
  <si>
    <t>A-F-04-TC-02</t>
  </si>
  <si>
    <t>A-F-04-TC-03</t>
  </si>
  <si>
    <t>A-F-04-TC-04</t>
  </si>
  <si>
    <t>A-F-04-TC-05</t>
  </si>
  <si>
    <t>Xem hồ sơ khám bệnh trả 200 và data hợp lệ</t>
  </si>
  <si>
    <t>JWT hợp lệ; appointment id=360 có medical report</t>
  </si>
  <si>
    <t>1.Gửi GET /api/patient/appointments/records/360;2.Check 200;3.result=1;4.data là object</t>
  </si>
  <si>
    <t>path id=360; JWT Patient</t>
  </si>
  <si>
    <t>200, result=1, data object</t>
  </si>
  <si>
    <t>GET /PTIT-Do-An-Tot-Nghiep/api/patient/appointments/records/360</t>
  </si>
  <si>
    <t>Functional / Content</t>
  </si>
  <si>
    <t>Hồ sơ chứa thông tin cuộc hẹn: id, bệnh nhân, ngày, trạng thái</t>
  </si>
  <si>
    <t>Response hợp lệ</t>
  </si>
  <si>
    <t>1.Check data.appointment object;2.appointment.id number;3.patient_name string;4.patient_birthday và date format YYYY-MM-DD;5.status thuộc danh sách hợp lệ</t>
  </si>
  <si>
    <t>-</t>
  </si>
  <si>
    <t>appointment đầy đủ field với format đúng</t>
  </si>
  <si>
    <t>Hồ sơ chứa thông tin bác sĩ và chuyên khoa</t>
  </si>
  <si>
    <t>1.Check data.doctor: id number, name string non-empty;2.Check data.speciality: id number, name string non-empty</t>
  </si>
  <si>
    <t>doctor và speciality đầy đủ</t>
  </si>
  <si>
    <t>Data Quality / Expected FAIL</t>
  </si>
  <si>
    <t>Nội dung chẩn đoán đầy đủ và không chứa HTML entity lỗi</t>
  </si>
  <si>
    <t>1.reason length &gt;=5;2.description không match /&amp;[a-z]+;/i;3.status_before/after length &gt;=3</t>
  </si>
  <si>
    <t>reason&gt;=5 ký tự; description sạch; status_before/after&gt;=3 ký tự</t>
  </si>
  <si>
    <t>Data Integrity / Time</t>
  </si>
  <si>
    <t>Thời gian create_at, update_at hợp lệ và create_at &lt;= update_at &lt;= now</t>
  </si>
  <si>
    <t>1.Check format "YYYY-MM-DD HH:mm:ss";2.createTs &lt;= updateTs;3.updateTs &lt;= Date.now()</t>
  </si>
  <si>
    <t>create_at&lt;=update_at&lt;=now, đúng format</t>
  </si>
  <si>
    <t>A-F-08-TC01</t>
  </si>
  <si>
    <t>A-F-08-TC03</t>
  </si>
  <si>
    <t>A-F-08-TC04</t>
  </si>
  <si>
    <t>A-F-08-TC05</t>
  </si>
  <si>
    <t>A-F-08-TC02</t>
  </si>
  <si>
    <t>A-F-09-TC04</t>
  </si>
  <si>
    <t>A-F-09-TC05</t>
  </si>
  <si>
    <t>Cập nhật tên/giới tính/ngày sinh/địa chỉ thành công</t>
  </si>
  <si>
    <t>JWT Patient hợp lệ</t>
  </si>
  <si>
    <t>1.Script tự gửi POST /api/patient/profile với action=personal;2.Check status 200/201;3.Check response có dấu hiệu thành công (result=true, success=true, status=success, message chứa 'success/thành công', hoặc 200+data)</t>
  </si>
  <si>
    <t>action=personal, name=mới, gender=Nam, birthday=01-01-2000, address=Hà Nội</t>
  </si>
  <si>
    <t>200/201 và response báo thành công</t>
  </si>
  <si>
    <t>GET /PTIT-Do-An-Tot-Nghiep/api/patient/profile (gọi POST trong script)</t>
  </si>
  <si>
    <t>Functional / Endpoint</t>
  </si>
  <si>
    <t>Upload avatar: endpoint nhận request, không 5xx</t>
  </si>
  <si>
    <t>1.Script gửi POST với action=avatar (không kèm file);2.Check status &lt; 500;3.Check status thuộc {200,201,400,401,403,422}</t>
  </si>
  <si>
    <t>Status hợp lệ, không 5xx</t>
  </si>
  <si>
    <t>Validation / Negative</t>
  </si>
  <si>
    <t>Để trống tên phải báo lỗi validation</t>
  </si>
  <si>
    <t>1.Script gửi POST với name="";2.Check 400/422 hoặc result=false hoặc message khớp regex /bắt buộc|required|trống|empty|tên|name/i</t>
  </si>
  <si>
    <t>action=personal, name="", gender=Nam, birthday=05-06-2004, address=hn</t>
  </si>
  <si>
    <t>Có lỗi validation tên</t>
  </si>
  <si>
    <t xml:space="preserve">TEST CASES – XEM LỊCH SỬ LỊCH HẸN </t>
  </si>
  <si>
    <t xml:space="preserve">TEST CASES – PHÁC ĐỒ ĐIỀU TRỊ </t>
  </si>
  <si>
    <t>TEST CASES – Xem bệnh án</t>
  </si>
  <si>
    <t xml:space="preserve">TEST CASES – TÌM KIẾM BÁC SĨ &amp; CHUYÊN KHOA </t>
  </si>
  <si>
    <t>TEST CASES – Xem hồ sơ bệnh nhân</t>
  </si>
  <si>
    <t>Ngày sinh sai format phải báo lỗi</t>
  </si>
  <si>
    <t>1.Script gửi POST với birthday="99-99-9999";2.Check 400/422 hoặc message khớp regex /invalid|không hợp lệ|birthday|ngày sinh|date/i</t>
  </si>
  <si>
    <t>birthday=99-99-9999</t>
  </si>
  <si>
    <t>Có lỗi validation ngày sinh</t>
  </si>
  <si>
    <t>Functional / View</t>
  </si>
  <si>
    <t>View profile trả về đầy đủ thông tin cá nhân</t>
  </si>
  <si>
    <t>JWT hợp lệ; profile đã được lưu</t>
  </si>
  <si>
    <t>1.Dùng response GET gốc;2.Check 200;3.profile có name/full_name/fullname không rỗng;4.Có field gender/sex, birthday/dob/date_of_birth, address</t>
  </si>
  <si>
    <t>JWT Patient; Type=Patient</t>
  </si>
  <si>
    <t>200 + profile đủ name/gender/birthday/address</t>
  </si>
  <si>
    <t>GET /PTIT-Do-An-Tot-Nghiep/api/patient/profile</t>
  </si>
  <si>
    <t>TEST CASES – Cập nhật hồ sơ bệnh nhân</t>
  </si>
  <si>
    <t>A-F-11-TC01</t>
  </si>
  <si>
    <t>Update profile thành công qua POST gốc</t>
  </si>
  <si>
    <t>1.Gửi POST body form;2.Check 200/201;3.Check dấu hiệu thành công</t>
  </si>
  <si>
    <t>action=personal, name=thanhle, gender=Nam, birthday=05-06-2004, address=hn</t>
  </si>
  <si>
    <t>200/201 + response thành công</t>
  </si>
  <si>
    <t>POST /PTIT-Do-An-Tot-Nghiep/api/patient/profile</t>
  </si>
  <si>
    <t>A-F-11-TC02</t>
  </si>
  <si>
    <t>Upload avatar không 5xx (lặp TC02 ở endpoint update)</t>
  </si>
  <si>
    <t>1.Script gửi POST action=avatar;2.Check status&lt;500 và thuộc {200,201,400,401,403,422}</t>
  </si>
  <si>
    <t>Status hợp lệ</t>
  </si>
  <si>
    <t>A-F-11-TC03</t>
  </si>
  <si>
    <t>Tên rỗng phải báo lỗi</t>
  </si>
  <si>
    <t>1.Script POST name="";2.Check 400/422 hoặc regex lỗi name/tên</t>
  </si>
  <si>
    <t>name=""</t>
  </si>
  <si>
    <t>Có validation error</t>
  </si>
  <si>
    <t>A-F-11-TC04</t>
  </si>
  <si>
    <t>Ngày sinh sai phải báo lỗi</t>
  </si>
  <si>
    <t>1.Script POST birthday=99-99-9999;2.Check 400/422 hoặc regex lỗi date</t>
  </si>
  <si>
    <t>A-F-11-TC05</t>
  </si>
  <si>
    <t>Functional / Verify</t>
  </si>
  <si>
    <t>Sau update phải GET thấy profile đầy đủ</t>
  </si>
  <si>
    <t>Đã update thành công</t>
  </si>
  <si>
    <t>1.Script gửi GET /profile;2.Check 200;3.Check có name non-empty, có gender, birthday, address</t>
  </si>
  <si>
    <t>200 + profile đủ field</t>
  </si>
  <si>
    <t>POST /PTIT-Do-An-Tot-Nghiep/api/patient/profile (gọi GET trong script)</t>
  </si>
  <si>
    <t xml:space="preserve">TEST CASES – MÀN HOME </t>
  </si>
  <si>
    <t>A-F-12-TC03</t>
  </si>
  <si>
    <t>A-F-12-TC01</t>
  </si>
  <si>
    <t>A-F-12-TC02</t>
  </si>
  <si>
    <t>Pass nếu có validation</t>
  </si>
  <si>
    <t xml:space="preserve">Pass </t>
  </si>
  <si>
    <t>Pass nếu JWT hợp lệ</t>
  </si>
  <si>
    <t>Pass nếu server xử lý đúng</t>
  </si>
  <si>
    <t>FAIL - dữ liệu thực có HTML entity ("á...") và status_before/after quá ngắn ("đ","ád")</t>
  </si>
  <si>
    <t>Pass (</t>
  </si>
  <si>
    <t>FAIL (hiện body đang là 081853250822 - 12 số, thì sẽ lộ bug thiếu validation)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</si>
</sst>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11"/>
      <color rgb="FF2E75B6"/>
      <name val="Arial"/>
    </font>
    <font>
      <b/>
      <sz val="10"/>
      <color rgb="FFFFFFFF"/>
      <name val="Arial"/>
    </font>
    <font>
      <sz val="10"/>
      <color rgb="FF000000"/>
      <name val="Arial"/>
    </font>
    <font>
      <b/>
      <sz val="14"/>
      <color rgb="FFFFFFFF"/>
      <name val="Arial"/>
    </font>
    <font>
      <b/>
      <sz val="11"/>
      <color rgb="FFFFFFFF"/>
      <name val="Arial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color rgb="FF000000"/>
      <name val="Arial"/>
      <family val="2"/>
    </font>
    <font>
      <b/>
      <sz val="14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3">
    <xf numFmtId="0" fontId="0" fillId="0" borderId="0"/>
    <xf numFmtId="0" fontId="7" fillId="6" borderId="0" applyNumberFormat="0" applyBorder="0" applyAlignment="0" applyProtection="0"/>
    <xf numFmtId="0" fontId="8" fillId="7" borderId="0" applyNumberFormat="0" applyBorder="0" applyAlignment="0" applyProtection="0"/>
  </cellStyleXfs>
  <cellXfs count="2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2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8" fillId="7" borderId="1" xfId="2" applyBorder="1" applyAlignment="1">
      <alignment horizontal="center" vertical="center" wrapText="1"/>
    </xf>
    <xf numFmtId="0" fontId="8" fillId="7" borderId="1" xfId="2" applyBorder="1" applyAlignment="1">
      <alignment horizontal="left" vertical="center" wrapText="1"/>
    </xf>
    <xf numFmtId="0" fontId="7" fillId="6" borderId="1" xfId="1" applyBorder="1" applyAlignment="1">
      <alignment horizontal="center" vertical="center" wrapText="1"/>
    </xf>
    <xf numFmtId="0" fontId="7" fillId="6" borderId="1" xfId="1" applyBorder="1" applyAlignment="1">
      <alignment horizontal="left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showGridLines="0" tabSelected="1" workbookViewId="0">
      <selection activeCell="K10" sqref="K10"/>
    </sheetView>
  </sheetViews>
  <sheetFormatPr defaultRowHeight="14.4" x14ac:dyDescent="0.3"/>
  <cols>
    <col min="1" max="1" width="18" customWidth="1"/>
    <col min="2" max="2" width="34" customWidth="1"/>
    <col min="3" max="3" width="10" customWidth="1"/>
    <col min="4" max="4" width="8" customWidth="1"/>
    <col min="5" max="5" width="12" customWidth="1"/>
    <col min="6" max="6" width="34" customWidth="1"/>
  </cols>
  <sheetData>
    <row r="1" spans="1:9" ht="40.049999999999997" customHeight="1" x14ac:dyDescent="0.3">
      <c r="A1" s="8" t="s">
        <v>0</v>
      </c>
      <c r="B1" s="9"/>
      <c r="C1" s="9"/>
      <c r="D1" s="9"/>
      <c r="E1" s="9"/>
      <c r="F1" s="9"/>
      <c r="G1" s="9"/>
      <c r="H1" s="9"/>
      <c r="I1" s="9"/>
    </row>
    <row r="2" spans="1:9" ht="22.05" customHeight="1" x14ac:dyDescent="0.3">
      <c r="A2" s="12" t="s">
        <v>1</v>
      </c>
      <c r="B2" s="9"/>
      <c r="C2" s="9"/>
      <c r="D2" s="9"/>
      <c r="E2" s="9"/>
      <c r="F2" s="9"/>
      <c r="G2" s="9"/>
      <c r="H2" s="9"/>
      <c r="I2" s="9"/>
    </row>
    <row r="3" spans="1:9" ht="22.05" customHeight="1" x14ac:dyDescent="0.3"/>
    <row r="4" spans="1:9" ht="22.05" customHeight="1" x14ac:dyDescent="0.3">
      <c r="A4" s="1" t="s">
        <v>2</v>
      </c>
      <c r="B4" s="2" t="s">
        <v>3</v>
      </c>
      <c r="C4" s="1" t="s">
        <v>4</v>
      </c>
      <c r="D4" s="1" t="s">
        <v>5</v>
      </c>
      <c r="E4" s="1" t="s">
        <v>6</v>
      </c>
      <c r="F4" s="2" t="s">
        <v>7</v>
      </c>
    </row>
    <row r="5" spans="1:9" ht="22.05" customHeight="1" x14ac:dyDescent="0.3">
      <c r="A5" s="14" t="s">
        <v>173</v>
      </c>
      <c r="B5" s="15" t="s">
        <v>8</v>
      </c>
      <c r="C5" s="14">
        <v>6</v>
      </c>
      <c r="D5" s="14">
        <v>4</v>
      </c>
      <c r="E5" s="14">
        <v>2</v>
      </c>
      <c r="F5" s="15" t="s">
        <v>9</v>
      </c>
    </row>
    <row r="6" spans="1:9" ht="22.05" customHeight="1" x14ac:dyDescent="0.3">
      <c r="A6" s="14" t="s">
        <v>12</v>
      </c>
      <c r="B6" s="15" t="s">
        <v>10</v>
      </c>
      <c r="C6" s="14">
        <v>6</v>
      </c>
      <c r="D6" s="14">
        <v>6</v>
      </c>
      <c r="E6" s="14">
        <v>0</v>
      </c>
      <c r="F6" s="15" t="s">
        <v>11</v>
      </c>
    </row>
    <row r="7" spans="1:9" ht="22.05" customHeight="1" x14ac:dyDescent="0.3">
      <c r="A7" s="14" t="s">
        <v>174</v>
      </c>
      <c r="B7" s="15" t="s">
        <v>13</v>
      </c>
      <c r="C7" s="14">
        <v>5</v>
      </c>
      <c r="D7" s="14">
        <v>4</v>
      </c>
      <c r="E7" s="14">
        <v>1</v>
      </c>
      <c r="F7" s="15" t="s">
        <v>14</v>
      </c>
    </row>
    <row r="8" spans="1:9" ht="22.05" customHeight="1" x14ac:dyDescent="0.3">
      <c r="A8" s="14" t="s">
        <v>15</v>
      </c>
      <c r="B8" s="15" t="s">
        <v>20</v>
      </c>
      <c r="C8" s="14">
        <v>5</v>
      </c>
      <c r="D8" s="14">
        <v>5</v>
      </c>
      <c r="E8" s="14">
        <v>0</v>
      </c>
      <c r="F8" s="15" t="s">
        <v>21</v>
      </c>
    </row>
    <row r="9" spans="1:9" ht="22.05" customHeight="1" x14ac:dyDescent="0.3">
      <c r="A9" s="14" t="s">
        <v>17</v>
      </c>
      <c r="B9" s="23" t="s">
        <v>290</v>
      </c>
      <c r="C9" s="14">
        <v>3</v>
      </c>
      <c r="D9" s="14">
        <v>3</v>
      </c>
      <c r="E9" s="14">
        <v>0</v>
      </c>
      <c r="F9" s="15" t="s">
        <v>187</v>
      </c>
    </row>
    <row r="10" spans="1:9" ht="22.05" customHeight="1" x14ac:dyDescent="0.3">
      <c r="A10" s="14" t="s">
        <v>175</v>
      </c>
      <c r="B10" s="15" t="s">
        <v>18</v>
      </c>
      <c r="C10" s="14">
        <v>5</v>
      </c>
      <c r="D10" s="14">
        <v>3</v>
      </c>
      <c r="E10" s="14">
        <v>2</v>
      </c>
      <c r="F10" s="15" t="s">
        <v>19</v>
      </c>
    </row>
    <row r="11" spans="1:9" ht="22.05" customHeight="1" x14ac:dyDescent="0.3">
      <c r="A11" s="14" t="s">
        <v>22</v>
      </c>
      <c r="B11" s="15" t="s">
        <v>176</v>
      </c>
      <c r="C11" s="14">
        <v>5</v>
      </c>
      <c r="D11" s="14">
        <v>4</v>
      </c>
      <c r="E11" s="14">
        <v>1</v>
      </c>
      <c r="F11" s="15" t="s">
        <v>177</v>
      </c>
    </row>
    <row r="12" spans="1:9" ht="22.05" customHeight="1" x14ac:dyDescent="0.3">
      <c r="A12" s="14" t="s">
        <v>178</v>
      </c>
      <c r="B12" s="15" t="s">
        <v>180</v>
      </c>
      <c r="C12" s="14">
        <v>5</v>
      </c>
      <c r="D12" s="14">
        <v>5</v>
      </c>
      <c r="E12" s="14">
        <v>0</v>
      </c>
      <c r="F12" s="15" t="s">
        <v>182</v>
      </c>
    </row>
    <row r="13" spans="1:9" ht="22.05" customHeight="1" x14ac:dyDescent="0.3">
      <c r="A13" s="14" t="s">
        <v>26</v>
      </c>
      <c r="B13" s="15" t="s">
        <v>181</v>
      </c>
      <c r="C13" s="14">
        <v>5</v>
      </c>
      <c r="D13" s="14">
        <v>5</v>
      </c>
      <c r="E13" s="14">
        <v>0</v>
      </c>
      <c r="F13" s="15" t="s">
        <v>185</v>
      </c>
    </row>
    <row r="14" spans="1:9" ht="22.05" customHeight="1" x14ac:dyDescent="0.3">
      <c r="A14" s="14" t="s">
        <v>23</v>
      </c>
      <c r="B14" s="15" t="s">
        <v>184</v>
      </c>
      <c r="C14" s="14">
        <v>5</v>
      </c>
      <c r="D14" s="14">
        <v>5</v>
      </c>
      <c r="E14" s="14">
        <v>0</v>
      </c>
      <c r="F14" s="15" t="s">
        <v>186</v>
      </c>
    </row>
    <row r="15" spans="1:9" ht="22.05" customHeight="1" x14ac:dyDescent="0.3">
      <c r="A15" s="14" t="s">
        <v>179</v>
      </c>
      <c r="B15" s="15" t="s">
        <v>24</v>
      </c>
      <c r="C15" s="14">
        <v>5</v>
      </c>
      <c r="D15" s="14">
        <v>5</v>
      </c>
      <c r="E15" s="14">
        <v>0</v>
      </c>
      <c r="F15" s="15" t="s">
        <v>25</v>
      </c>
    </row>
    <row r="16" spans="1:9" ht="22.05" customHeight="1" x14ac:dyDescent="0.3">
      <c r="A16" s="14" t="s">
        <v>183</v>
      </c>
      <c r="B16" s="15" t="s">
        <v>27</v>
      </c>
      <c r="C16" s="14">
        <v>3</v>
      </c>
      <c r="D16" s="14">
        <v>2</v>
      </c>
      <c r="E16" s="14">
        <v>1</v>
      </c>
      <c r="F16" s="15" t="s">
        <v>28</v>
      </c>
    </row>
    <row r="17" spans="1:6" ht="22.05" customHeight="1" x14ac:dyDescent="0.3">
      <c r="A17" s="10" t="s">
        <v>29</v>
      </c>
      <c r="B17" s="11"/>
      <c r="C17" s="1">
        <f>SUM(C5:C16)</f>
        <v>58</v>
      </c>
      <c r="D17" s="1">
        <f>SUM(D5:D16)</f>
        <v>51</v>
      </c>
      <c r="E17" s="1">
        <f>SUM(E5:E16)</f>
        <v>7</v>
      </c>
      <c r="F17" s="2"/>
    </row>
    <row r="18" spans="1:6" ht="24" customHeight="1" x14ac:dyDescent="0.3"/>
  </sheetData>
  <mergeCells count="3">
    <mergeCell ref="A1:I1"/>
    <mergeCell ref="A17:B17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showGridLines="0" topLeftCell="D1" workbookViewId="0">
      <selection activeCell="K6" sqref="K6"/>
    </sheetView>
  </sheetViews>
  <sheetFormatPr defaultRowHeight="14.4" x14ac:dyDescent="0.3"/>
  <cols>
    <col min="1" max="1" width="16" customWidth="1"/>
    <col min="2" max="2" width="14" customWidth="1"/>
    <col min="3" max="3" width="38" customWidth="1"/>
    <col min="4" max="4" width="32" customWidth="1"/>
    <col min="5" max="6" width="36" customWidth="1"/>
    <col min="7" max="7" width="42" customWidth="1"/>
    <col min="8" max="8" width="24" customWidth="1"/>
    <col min="9" max="9" width="20" customWidth="1"/>
  </cols>
  <sheetData>
    <row r="1" spans="1:9" ht="36" customHeight="1" x14ac:dyDescent="0.3">
      <c r="A1" s="13" t="s">
        <v>30</v>
      </c>
      <c r="B1" s="9"/>
      <c r="C1" s="9"/>
      <c r="D1" s="9"/>
      <c r="E1" s="9"/>
      <c r="F1" s="9"/>
      <c r="G1" s="9"/>
      <c r="H1" s="9"/>
      <c r="I1" s="9"/>
    </row>
    <row r="2" spans="1:9" ht="28.05" customHeight="1" x14ac:dyDescent="0.3">
      <c r="A2" s="3" t="s">
        <v>31</v>
      </c>
      <c r="B2" s="3" t="s">
        <v>32</v>
      </c>
      <c r="C2" s="3" t="s">
        <v>33</v>
      </c>
      <c r="D2" s="3" t="s">
        <v>34</v>
      </c>
      <c r="E2" s="3" t="s">
        <v>35</v>
      </c>
      <c r="F2" s="3" t="s">
        <v>36</v>
      </c>
      <c r="G2" s="3" t="s">
        <v>37</v>
      </c>
      <c r="H2" s="3" t="s">
        <v>38</v>
      </c>
      <c r="I2" s="3" t="s">
        <v>39</v>
      </c>
    </row>
    <row r="3" spans="1:9" ht="55.95" customHeight="1" x14ac:dyDescent="0.3">
      <c r="A3" s="18" t="s">
        <v>188</v>
      </c>
      <c r="B3" s="18" t="s">
        <v>189</v>
      </c>
      <c r="C3" s="19" t="s">
        <v>190</v>
      </c>
      <c r="D3" s="19" t="s">
        <v>191</v>
      </c>
      <c r="E3" s="19" t="s">
        <v>192</v>
      </c>
      <c r="F3" s="19" t="s">
        <v>193</v>
      </c>
      <c r="G3" s="19" t="s">
        <v>194</v>
      </c>
      <c r="H3" s="19" t="s">
        <v>195</v>
      </c>
      <c r="I3" s="18" t="s">
        <v>388</v>
      </c>
    </row>
    <row r="4" spans="1:9" ht="55.95" customHeight="1" x14ac:dyDescent="0.3">
      <c r="A4" s="18" t="s">
        <v>196</v>
      </c>
      <c r="B4" s="18" t="s">
        <v>189</v>
      </c>
      <c r="C4" s="19" t="s">
        <v>197</v>
      </c>
      <c r="D4" s="19" t="s">
        <v>198</v>
      </c>
      <c r="E4" s="19" t="s">
        <v>199</v>
      </c>
      <c r="F4" s="19" t="s">
        <v>193</v>
      </c>
      <c r="G4" s="19" t="s">
        <v>200</v>
      </c>
      <c r="H4" s="19" t="s">
        <v>195</v>
      </c>
      <c r="I4" s="18" t="s">
        <v>392</v>
      </c>
    </row>
    <row r="5" spans="1:9" ht="55.95" customHeight="1" x14ac:dyDescent="0.3">
      <c r="A5" s="18" t="s">
        <v>202</v>
      </c>
      <c r="B5" s="18" t="s">
        <v>203</v>
      </c>
      <c r="C5" s="19" t="s">
        <v>204</v>
      </c>
      <c r="D5" s="19" t="s">
        <v>205</v>
      </c>
      <c r="E5" s="19" t="s">
        <v>206</v>
      </c>
      <c r="F5" s="19" t="s">
        <v>193</v>
      </c>
      <c r="G5" s="19" t="s">
        <v>207</v>
      </c>
      <c r="H5" s="19" t="s">
        <v>195</v>
      </c>
      <c r="I5" s="18" t="s">
        <v>208</v>
      </c>
    </row>
    <row r="6" spans="1:9" ht="55.95" customHeight="1" x14ac:dyDescent="0.3">
      <c r="A6" s="18" t="s">
        <v>209</v>
      </c>
      <c r="B6" s="18" t="s">
        <v>189</v>
      </c>
      <c r="C6" s="19" t="s">
        <v>210</v>
      </c>
      <c r="D6" s="19" t="s">
        <v>211</v>
      </c>
      <c r="E6" s="19" t="s">
        <v>212</v>
      </c>
      <c r="F6" s="19" t="s">
        <v>193</v>
      </c>
      <c r="G6" s="19" t="s">
        <v>213</v>
      </c>
      <c r="H6" s="19" t="s">
        <v>195</v>
      </c>
      <c r="I6" s="18" t="s">
        <v>392</v>
      </c>
    </row>
    <row r="7" spans="1:9" ht="55.95" customHeight="1" x14ac:dyDescent="0.3">
      <c r="A7" s="16" t="s">
        <v>214</v>
      </c>
      <c r="B7" s="16" t="s">
        <v>215</v>
      </c>
      <c r="C7" s="17" t="s">
        <v>216</v>
      </c>
      <c r="D7" s="17" t="s">
        <v>217</v>
      </c>
      <c r="E7" s="17" t="s">
        <v>218</v>
      </c>
      <c r="F7" s="17" t="s">
        <v>219</v>
      </c>
      <c r="G7" s="17" t="s">
        <v>220</v>
      </c>
      <c r="H7" s="17" t="s">
        <v>195</v>
      </c>
      <c r="I7" s="16" t="s">
        <v>393</v>
      </c>
    </row>
    <row r="8" spans="1:9" ht="55.95" customHeight="1" x14ac:dyDescent="0.3">
      <c r="A8" s="18" t="s">
        <v>221</v>
      </c>
      <c r="B8" s="18" t="s">
        <v>222</v>
      </c>
      <c r="C8" s="19" t="s">
        <v>223</v>
      </c>
      <c r="D8" s="19" t="s">
        <v>224</v>
      </c>
      <c r="E8" s="19" t="s">
        <v>225</v>
      </c>
      <c r="F8" s="19" t="s">
        <v>193</v>
      </c>
      <c r="G8" s="19" t="s">
        <v>226</v>
      </c>
      <c r="H8" s="19" t="s">
        <v>195</v>
      </c>
      <c r="I8" s="18" t="s">
        <v>388</v>
      </c>
    </row>
  </sheetData>
  <mergeCells count="1">
    <mergeCell ref="A1:I1"/>
  </mergeCells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showGridLines="0" topLeftCell="F1" workbookViewId="0">
      <selection activeCell="I8" sqref="I8"/>
    </sheetView>
  </sheetViews>
  <sheetFormatPr defaultRowHeight="14.4" x14ac:dyDescent="0.3"/>
  <cols>
    <col min="1" max="1" width="16" customWidth="1"/>
    <col min="2" max="2" width="14" customWidth="1"/>
    <col min="3" max="3" width="38" customWidth="1"/>
    <col min="4" max="4" width="32" customWidth="1"/>
    <col min="5" max="6" width="36" customWidth="1"/>
    <col min="7" max="7" width="42" customWidth="1"/>
    <col min="8" max="8" width="24" customWidth="1"/>
    <col min="9" max="9" width="20" customWidth="1"/>
  </cols>
  <sheetData>
    <row r="1" spans="1:9" ht="36" customHeight="1" x14ac:dyDescent="0.3">
      <c r="A1" s="13" t="s">
        <v>41</v>
      </c>
      <c r="B1" s="9"/>
      <c r="C1" s="9"/>
      <c r="D1" s="9"/>
      <c r="E1" s="9"/>
      <c r="F1" s="9"/>
      <c r="G1" s="9"/>
      <c r="H1" s="9"/>
      <c r="I1" s="9"/>
    </row>
    <row r="2" spans="1:9" ht="28.05" customHeight="1" x14ac:dyDescent="0.3">
      <c r="A2" s="3" t="s">
        <v>31</v>
      </c>
      <c r="B2" s="3" t="s">
        <v>32</v>
      </c>
      <c r="C2" s="3" t="s">
        <v>33</v>
      </c>
      <c r="D2" s="3" t="s">
        <v>34</v>
      </c>
      <c r="E2" s="3" t="s">
        <v>35</v>
      </c>
      <c r="F2" s="3" t="s">
        <v>36</v>
      </c>
      <c r="G2" s="3" t="s">
        <v>37</v>
      </c>
      <c r="H2" s="3" t="s">
        <v>38</v>
      </c>
      <c r="I2" s="3" t="s">
        <v>39</v>
      </c>
    </row>
    <row r="3" spans="1:9" ht="55.95" customHeight="1" x14ac:dyDescent="0.3">
      <c r="A3" s="18" t="s">
        <v>43</v>
      </c>
      <c r="B3" s="18" t="s">
        <v>189</v>
      </c>
      <c r="C3" s="19" t="s">
        <v>227</v>
      </c>
      <c r="D3" s="19" t="s">
        <v>228</v>
      </c>
      <c r="E3" s="19" t="s">
        <v>229</v>
      </c>
      <c r="F3" s="19" t="s">
        <v>230</v>
      </c>
      <c r="G3" s="19" t="s">
        <v>194</v>
      </c>
      <c r="H3" s="19" t="s">
        <v>231</v>
      </c>
      <c r="I3" s="18" t="s">
        <v>5</v>
      </c>
    </row>
    <row r="4" spans="1:9" ht="55.95" customHeight="1" x14ac:dyDescent="0.3">
      <c r="A4" s="18" t="s">
        <v>45</v>
      </c>
      <c r="B4" s="18" t="s">
        <v>189</v>
      </c>
      <c r="C4" s="19" t="s">
        <v>232</v>
      </c>
      <c r="D4" s="19" t="s">
        <v>233</v>
      </c>
      <c r="E4" s="19" t="s">
        <v>234</v>
      </c>
      <c r="F4" s="19" t="s">
        <v>230</v>
      </c>
      <c r="G4" s="19" t="s">
        <v>235</v>
      </c>
      <c r="H4" s="19" t="s">
        <v>231</v>
      </c>
      <c r="I4" s="18" t="s">
        <v>388</v>
      </c>
    </row>
    <row r="5" spans="1:9" ht="55.95" customHeight="1" x14ac:dyDescent="0.3">
      <c r="A5" s="18" t="s">
        <v>47</v>
      </c>
      <c r="B5" s="18" t="s">
        <v>203</v>
      </c>
      <c r="C5" s="19" t="s">
        <v>236</v>
      </c>
      <c r="D5" s="19" t="s">
        <v>237</v>
      </c>
      <c r="E5" s="19" t="s">
        <v>238</v>
      </c>
      <c r="F5" s="19" t="s">
        <v>230</v>
      </c>
      <c r="G5" s="19" t="s">
        <v>207</v>
      </c>
      <c r="H5" s="19" t="s">
        <v>231</v>
      </c>
      <c r="I5" s="18" t="s">
        <v>388</v>
      </c>
    </row>
    <row r="6" spans="1:9" ht="55.95" customHeight="1" x14ac:dyDescent="0.3">
      <c r="A6" s="18" t="s">
        <v>49</v>
      </c>
      <c r="B6" s="18" t="s">
        <v>189</v>
      </c>
      <c r="C6" s="19" t="s">
        <v>239</v>
      </c>
      <c r="D6" s="19" t="s">
        <v>240</v>
      </c>
      <c r="E6" s="19" t="s">
        <v>241</v>
      </c>
      <c r="F6" s="19" t="s">
        <v>230</v>
      </c>
      <c r="G6" s="19" t="s">
        <v>242</v>
      </c>
      <c r="H6" s="19" t="s">
        <v>231</v>
      </c>
      <c r="I6" s="18" t="s">
        <v>392</v>
      </c>
    </row>
    <row r="7" spans="1:9" ht="55.95" customHeight="1" x14ac:dyDescent="0.3">
      <c r="A7" s="18" t="s">
        <v>50</v>
      </c>
      <c r="B7" s="18" t="s">
        <v>243</v>
      </c>
      <c r="C7" s="19" t="s">
        <v>244</v>
      </c>
      <c r="D7" s="19" t="s">
        <v>245</v>
      </c>
      <c r="E7" s="19" t="s">
        <v>246</v>
      </c>
      <c r="F7" s="19" t="s">
        <v>230</v>
      </c>
      <c r="G7" s="19" t="s">
        <v>247</v>
      </c>
      <c r="H7" s="19" t="s">
        <v>231</v>
      </c>
      <c r="I7" s="18" t="s">
        <v>388</v>
      </c>
    </row>
    <row r="8" spans="1:9" ht="55.95" customHeight="1" x14ac:dyDescent="0.3">
      <c r="A8" s="18" t="s">
        <v>248</v>
      </c>
      <c r="B8" s="18" t="s">
        <v>222</v>
      </c>
      <c r="C8" s="19" t="s">
        <v>249</v>
      </c>
      <c r="D8" s="19" t="s">
        <v>240</v>
      </c>
      <c r="E8" s="19" t="s">
        <v>250</v>
      </c>
      <c r="F8" s="19" t="s">
        <v>230</v>
      </c>
      <c r="G8" s="19" t="s">
        <v>251</v>
      </c>
      <c r="H8" s="19" t="s">
        <v>231</v>
      </c>
      <c r="I8" s="18" t="s">
        <v>252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showGridLines="0" topLeftCell="F1" workbookViewId="0">
      <selection activeCell="I3" sqref="I3"/>
    </sheetView>
  </sheetViews>
  <sheetFormatPr defaultRowHeight="14.4" x14ac:dyDescent="0.3"/>
  <cols>
    <col min="1" max="1" width="16" customWidth="1"/>
    <col min="2" max="2" width="14" customWidth="1"/>
    <col min="3" max="3" width="38" customWidth="1"/>
    <col min="4" max="4" width="32" customWidth="1"/>
    <col min="5" max="6" width="36" customWidth="1"/>
    <col min="7" max="7" width="42" customWidth="1"/>
    <col min="8" max="8" width="24" customWidth="1"/>
    <col min="9" max="9" width="20" customWidth="1"/>
  </cols>
  <sheetData>
    <row r="1" spans="1:9" ht="36" customHeight="1" x14ac:dyDescent="0.3">
      <c r="A1" s="13" t="s">
        <v>42</v>
      </c>
      <c r="B1" s="9"/>
      <c r="C1" s="9"/>
      <c r="D1" s="9"/>
      <c r="E1" s="9"/>
      <c r="F1" s="9"/>
      <c r="G1" s="9"/>
      <c r="H1" s="9"/>
      <c r="I1" s="9"/>
    </row>
    <row r="2" spans="1:9" ht="28.05" customHeight="1" x14ac:dyDescent="0.3">
      <c r="A2" s="3" t="s">
        <v>31</v>
      </c>
      <c r="B2" s="3" t="s">
        <v>32</v>
      </c>
      <c r="C2" s="3" t="s">
        <v>33</v>
      </c>
      <c r="D2" s="3" t="s">
        <v>34</v>
      </c>
      <c r="E2" s="3" t="s">
        <v>35</v>
      </c>
      <c r="F2" s="3" t="s">
        <v>36</v>
      </c>
      <c r="G2" s="3" t="s">
        <v>37</v>
      </c>
      <c r="H2" s="3" t="s">
        <v>38</v>
      </c>
      <c r="I2" s="3" t="s">
        <v>39</v>
      </c>
    </row>
    <row r="3" spans="1:9" ht="55.95" customHeight="1" x14ac:dyDescent="0.3">
      <c r="A3" s="18" t="s">
        <v>253</v>
      </c>
      <c r="B3" s="18" t="s">
        <v>254</v>
      </c>
      <c r="C3" s="19" t="s">
        <v>255</v>
      </c>
      <c r="D3" s="19" t="s">
        <v>256</v>
      </c>
      <c r="E3" s="19" t="s">
        <v>257</v>
      </c>
      <c r="F3" s="19" t="s">
        <v>258</v>
      </c>
      <c r="G3" s="19" t="s">
        <v>259</v>
      </c>
      <c r="H3" s="19" t="s">
        <v>260</v>
      </c>
      <c r="I3" s="18" t="s">
        <v>388</v>
      </c>
    </row>
    <row r="4" spans="1:9" ht="55.95" customHeight="1" x14ac:dyDescent="0.3">
      <c r="A4" s="18" t="s">
        <v>261</v>
      </c>
      <c r="B4" s="18" t="s">
        <v>262</v>
      </c>
      <c r="C4" s="19" t="s">
        <v>263</v>
      </c>
      <c r="D4" s="19" t="s">
        <v>264</v>
      </c>
      <c r="E4" s="19" t="s">
        <v>265</v>
      </c>
      <c r="F4" s="19" t="s">
        <v>266</v>
      </c>
      <c r="G4" s="19" t="s">
        <v>267</v>
      </c>
      <c r="H4" s="19" t="s">
        <v>260</v>
      </c>
      <c r="I4" s="18" t="s">
        <v>201</v>
      </c>
    </row>
    <row r="5" spans="1:9" ht="57.6" x14ac:dyDescent="0.3">
      <c r="A5" s="18" t="s">
        <v>268</v>
      </c>
      <c r="B5" s="18" t="s">
        <v>269</v>
      </c>
      <c r="C5" s="19" t="s">
        <v>270</v>
      </c>
      <c r="D5" s="19" t="s">
        <v>271</v>
      </c>
      <c r="E5" s="19" t="s">
        <v>272</v>
      </c>
      <c r="F5" s="19" t="s">
        <v>273</v>
      </c>
      <c r="G5" s="19" t="s">
        <v>274</v>
      </c>
      <c r="H5" s="19" t="s">
        <v>260</v>
      </c>
      <c r="I5" s="18" t="s">
        <v>5</v>
      </c>
    </row>
    <row r="6" spans="1:9" ht="66" x14ac:dyDescent="0.3">
      <c r="A6" s="6" t="s">
        <v>275</v>
      </c>
      <c r="B6" s="6" t="s">
        <v>276</v>
      </c>
      <c r="C6" s="7" t="s">
        <v>277</v>
      </c>
      <c r="D6" s="7" t="s">
        <v>278</v>
      </c>
      <c r="E6" s="21" t="s">
        <v>279</v>
      </c>
      <c r="F6" s="7" t="s">
        <v>280</v>
      </c>
      <c r="G6" s="7" t="s">
        <v>281</v>
      </c>
      <c r="H6" s="7" t="s">
        <v>260</v>
      </c>
      <c r="I6" s="20" t="s">
        <v>289</v>
      </c>
    </row>
    <row r="7" spans="1:9" ht="55.95" customHeight="1" x14ac:dyDescent="0.3">
      <c r="A7" s="18" t="s">
        <v>282</v>
      </c>
      <c r="B7" s="18" t="s">
        <v>283</v>
      </c>
      <c r="C7" s="19" t="s">
        <v>284</v>
      </c>
      <c r="D7" s="19" t="s">
        <v>285</v>
      </c>
      <c r="E7" s="19" t="s">
        <v>286</v>
      </c>
      <c r="F7" s="19" t="s">
        <v>287</v>
      </c>
      <c r="G7" s="19" t="s">
        <v>288</v>
      </c>
      <c r="H7" s="19" t="s">
        <v>260</v>
      </c>
      <c r="I7" s="18" t="s">
        <v>5</v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showGridLines="0" topLeftCell="E1" workbookViewId="0">
      <selection activeCell="A7" sqref="A7"/>
    </sheetView>
  </sheetViews>
  <sheetFormatPr defaultRowHeight="14.4" x14ac:dyDescent="0.3"/>
  <cols>
    <col min="1" max="1" width="16" customWidth="1"/>
    <col min="2" max="2" width="14" customWidth="1"/>
    <col min="3" max="3" width="38" customWidth="1"/>
    <col min="4" max="4" width="32" customWidth="1"/>
    <col min="5" max="6" width="36" customWidth="1"/>
    <col min="7" max="7" width="42" customWidth="1"/>
    <col min="8" max="8" width="24" customWidth="1"/>
    <col min="9" max="9" width="20" customWidth="1"/>
  </cols>
  <sheetData>
    <row r="1" spans="1:9" ht="36" customHeight="1" x14ac:dyDescent="0.3">
      <c r="A1" s="13" t="s">
        <v>87</v>
      </c>
      <c r="B1" s="9"/>
      <c r="C1" s="9"/>
      <c r="D1" s="9"/>
      <c r="E1" s="9"/>
      <c r="F1" s="9"/>
      <c r="G1" s="9"/>
      <c r="H1" s="9"/>
      <c r="I1" s="9"/>
    </row>
    <row r="2" spans="1:9" ht="28.05" customHeight="1" x14ac:dyDescent="0.3">
      <c r="A2" s="3" t="s">
        <v>31</v>
      </c>
      <c r="B2" s="3" t="s">
        <v>32</v>
      </c>
      <c r="C2" s="3" t="s">
        <v>33</v>
      </c>
      <c r="D2" s="3" t="s">
        <v>34</v>
      </c>
      <c r="E2" s="3" t="s">
        <v>35</v>
      </c>
      <c r="F2" s="3" t="s">
        <v>36</v>
      </c>
      <c r="G2" s="3" t="s">
        <v>37</v>
      </c>
      <c r="H2" s="3" t="s">
        <v>38</v>
      </c>
      <c r="I2" s="3" t="s">
        <v>39</v>
      </c>
    </row>
    <row r="3" spans="1:9" ht="55.95" customHeight="1" x14ac:dyDescent="0.3">
      <c r="A3" s="22" t="s">
        <v>291</v>
      </c>
      <c r="B3" s="4" t="s">
        <v>40</v>
      </c>
      <c r="C3" s="5" t="s">
        <v>88</v>
      </c>
      <c r="D3" s="5" t="s">
        <v>89</v>
      </c>
      <c r="E3" s="5" t="s">
        <v>90</v>
      </c>
      <c r="F3" s="5" t="s">
        <v>54</v>
      </c>
      <c r="G3" s="5" t="s">
        <v>91</v>
      </c>
      <c r="H3" s="5" t="s">
        <v>21</v>
      </c>
      <c r="I3" s="4" t="s">
        <v>5</v>
      </c>
    </row>
    <row r="4" spans="1:9" ht="55.95" customHeight="1" x14ac:dyDescent="0.3">
      <c r="A4" s="22" t="s">
        <v>292</v>
      </c>
      <c r="B4" s="4" t="s">
        <v>92</v>
      </c>
      <c r="C4" s="5" t="s">
        <v>93</v>
      </c>
      <c r="D4" s="5" t="s">
        <v>46</v>
      </c>
      <c r="E4" s="5" t="s">
        <v>94</v>
      </c>
      <c r="F4" s="5" t="s">
        <v>95</v>
      </c>
      <c r="G4" s="5" t="s">
        <v>96</v>
      </c>
      <c r="H4" s="5" t="s">
        <v>21</v>
      </c>
      <c r="I4" s="4" t="s">
        <v>5</v>
      </c>
    </row>
    <row r="5" spans="1:9" ht="55.95" customHeight="1" x14ac:dyDescent="0.3">
      <c r="A5" s="22" t="s">
        <v>293</v>
      </c>
      <c r="B5" s="4" t="s">
        <v>44</v>
      </c>
      <c r="C5" s="5" t="s">
        <v>97</v>
      </c>
      <c r="D5" s="5" t="s">
        <v>89</v>
      </c>
      <c r="E5" s="5" t="s">
        <v>90</v>
      </c>
      <c r="F5" s="5" t="s">
        <v>54</v>
      </c>
      <c r="G5" s="5" t="s">
        <v>98</v>
      </c>
      <c r="H5" s="5" t="s">
        <v>21</v>
      </c>
      <c r="I5" s="4" t="s">
        <v>5</v>
      </c>
    </row>
    <row r="6" spans="1:9" ht="55.95" customHeight="1" x14ac:dyDescent="0.3">
      <c r="A6" s="22" t="s">
        <v>294</v>
      </c>
      <c r="B6" s="4" t="s">
        <v>99</v>
      </c>
      <c r="C6" s="5" t="s">
        <v>100</v>
      </c>
      <c r="D6" s="5" t="s">
        <v>46</v>
      </c>
      <c r="E6" s="5" t="s">
        <v>101</v>
      </c>
      <c r="F6" s="5" t="s">
        <v>54</v>
      </c>
      <c r="G6" s="5" t="s">
        <v>102</v>
      </c>
      <c r="H6" s="5" t="s">
        <v>21</v>
      </c>
      <c r="I6" s="4" t="s">
        <v>5</v>
      </c>
    </row>
    <row r="7" spans="1:9" ht="55.95" customHeight="1" x14ac:dyDescent="0.3">
      <c r="A7" s="22" t="s">
        <v>295</v>
      </c>
      <c r="B7" s="4" t="s">
        <v>103</v>
      </c>
      <c r="C7" s="5" t="s">
        <v>104</v>
      </c>
      <c r="D7" s="5" t="s">
        <v>46</v>
      </c>
      <c r="E7" s="5" t="s">
        <v>105</v>
      </c>
      <c r="F7" s="5" t="s">
        <v>54</v>
      </c>
      <c r="G7" s="5" t="s">
        <v>106</v>
      </c>
      <c r="H7" s="5" t="s">
        <v>21</v>
      </c>
      <c r="I7" s="4" t="s">
        <v>5</v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showGridLines="0" topLeftCell="G1" workbookViewId="0">
      <selection activeCell="I4" sqref="I4"/>
    </sheetView>
  </sheetViews>
  <sheetFormatPr defaultRowHeight="14.4" x14ac:dyDescent="0.3"/>
  <cols>
    <col min="1" max="1" width="16" customWidth="1"/>
    <col min="2" max="2" width="14" customWidth="1"/>
    <col min="3" max="3" width="38" customWidth="1"/>
    <col min="4" max="4" width="32" customWidth="1"/>
    <col min="5" max="6" width="36" customWidth="1"/>
    <col min="7" max="7" width="42" customWidth="1"/>
    <col min="8" max="8" width="24" customWidth="1"/>
    <col min="9" max="9" width="20" customWidth="1"/>
  </cols>
  <sheetData>
    <row r="1" spans="1:9" ht="36" customHeight="1" x14ac:dyDescent="0.3">
      <c r="A1" s="24" t="s">
        <v>341</v>
      </c>
      <c r="B1" s="9"/>
      <c r="C1" s="9"/>
      <c r="D1" s="9"/>
      <c r="E1" s="9"/>
      <c r="F1" s="9"/>
      <c r="G1" s="9"/>
      <c r="H1" s="9"/>
      <c r="I1" s="9"/>
    </row>
    <row r="2" spans="1:9" ht="28.05" customHeight="1" x14ac:dyDescent="0.3">
      <c r="A2" s="3" t="s">
        <v>31</v>
      </c>
      <c r="B2" s="3" t="s">
        <v>32</v>
      </c>
      <c r="C2" s="3" t="s">
        <v>33</v>
      </c>
      <c r="D2" s="3" t="s">
        <v>34</v>
      </c>
      <c r="E2" s="3" t="s">
        <v>35</v>
      </c>
      <c r="F2" s="3" t="s">
        <v>36</v>
      </c>
      <c r="G2" s="3" t="s">
        <v>37</v>
      </c>
      <c r="H2" s="3" t="s">
        <v>38</v>
      </c>
      <c r="I2" s="3" t="s">
        <v>39</v>
      </c>
    </row>
    <row r="3" spans="1:9" ht="55.95" customHeight="1" x14ac:dyDescent="0.3">
      <c r="A3" s="22" t="s">
        <v>67</v>
      </c>
      <c r="B3" s="4" t="s">
        <v>44</v>
      </c>
      <c r="C3" s="5" t="s">
        <v>51</v>
      </c>
      <c r="D3" s="5" t="s">
        <v>52</v>
      </c>
      <c r="E3" s="5" t="s">
        <v>53</v>
      </c>
      <c r="F3" s="5" t="s">
        <v>54</v>
      </c>
      <c r="G3" s="5" t="s">
        <v>55</v>
      </c>
      <c r="H3" s="5" t="s">
        <v>16</v>
      </c>
      <c r="I3" s="4" t="s">
        <v>5</v>
      </c>
    </row>
    <row r="4" spans="1:9" ht="55.95" customHeight="1" x14ac:dyDescent="0.3">
      <c r="A4" s="22" t="s">
        <v>72</v>
      </c>
      <c r="B4" s="4" t="s">
        <v>44</v>
      </c>
      <c r="C4" s="5" t="s">
        <v>56</v>
      </c>
      <c r="D4" s="5" t="s">
        <v>57</v>
      </c>
      <c r="E4" s="5" t="s">
        <v>53</v>
      </c>
      <c r="F4" s="5" t="s">
        <v>58</v>
      </c>
      <c r="G4" s="5" t="s">
        <v>59</v>
      </c>
      <c r="H4" s="5" t="s">
        <v>16</v>
      </c>
      <c r="I4" s="22" t="s">
        <v>60</v>
      </c>
    </row>
    <row r="5" spans="1:9" ht="55.95" customHeight="1" x14ac:dyDescent="0.3">
      <c r="A5" s="22" t="s">
        <v>75</v>
      </c>
      <c r="B5" s="4" t="s">
        <v>44</v>
      </c>
      <c r="C5" s="5" t="s">
        <v>61</v>
      </c>
      <c r="D5" s="5" t="s">
        <v>62</v>
      </c>
      <c r="E5" s="5" t="s">
        <v>63</v>
      </c>
      <c r="F5" s="5" t="s">
        <v>64</v>
      </c>
      <c r="G5" s="5" t="s">
        <v>65</v>
      </c>
      <c r="H5" s="5" t="s">
        <v>66</v>
      </c>
      <c r="I5" s="4" t="s">
        <v>5</v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showGridLines="0" topLeftCell="E1" workbookViewId="0">
      <selection sqref="A1:I7"/>
    </sheetView>
  </sheetViews>
  <sheetFormatPr defaultRowHeight="14.4" x14ac:dyDescent="0.3"/>
  <cols>
    <col min="1" max="1" width="16" customWidth="1"/>
    <col min="2" max="2" width="14" customWidth="1"/>
    <col min="3" max="3" width="38" customWidth="1"/>
    <col min="4" max="4" width="32" customWidth="1"/>
    <col min="5" max="6" width="36" customWidth="1"/>
    <col min="7" max="7" width="42" customWidth="1"/>
    <col min="8" max="8" width="24" customWidth="1"/>
    <col min="9" max="9" width="20" customWidth="1"/>
  </cols>
  <sheetData>
    <row r="1" spans="1:9" ht="36" customHeight="1" x14ac:dyDescent="0.3">
      <c r="A1" s="24" t="s">
        <v>342</v>
      </c>
      <c r="B1" s="9"/>
      <c r="C1" s="9"/>
      <c r="D1" s="9"/>
      <c r="E1" s="9"/>
      <c r="F1" s="9"/>
      <c r="G1" s="9"/>
      <c r="H1" s="9"/>
      <c r="I1" s="9"/>
    </row>
    <row r="2" spans="1:9" ht="28.05" customHeight="1" x14ac:dyDescent="0.3">
      <c r="A2" s="3" t="s">
        <v>31</v>
      </c>
      <c r="B2" s="3" t="s">
        <v>32</v>
      </c>
      <c r="C2" s="3" t="s">
        <v>33</v>
      </c>
      <c r="D2" s="3" t="s">
        <v>34</v>
      </c>
      <c r="E2" s="3" t="s">
        <v>35</v>
      </c>
      <c r="F2" s="3" t="s">
        <v>36</v>
      </c>
      <c r="G2" s="3" t="s">
        <v>37</v>
      </c>
      <c r="H2" s="3" t="s">
        <v>38</v>
      </c>
      <c r="I2" s="3" t="s">
        <v>39</v>
      </c>
    </row>
    <row r="3" spans="1:9" ht="55.95" customHeight="1" x14ac:dyDescent="0.3">
      <c r="A3" s="4" t="s">
        <v>67</v>
      </c>
      <c r="B3" s="4" t="s">
        <v>44</v>
      </c>
      <c r="C3" s="5" t="s">
        <v>68</v>
      </c>
      <c r="D3" s="5" t="s">
        <v>69</v>
      </c>
      <c r="E3" s="5" t="s">
        <v>70</v>
      </c>
      <c r="F3" s="5" t="s">
        <v>54</v>
      </c>
      <c r="G3" s="5" t="s">
        <v>71</v>
      </c>
      <c r="H3" s="5" t="s">
        <v>19</v>
      </c>
      <c r="I3" s="4" t="s">
        <v>5</v>
      </c>
    </row>
    <row r="4" spans="1:9" ht="55.95" customHeight="1" x14ac:dyDescent="0.3">
      <c r="A4" s="4" t="s">
        <v>72</v>
      </c>
      <c r="B4" s="4" t="s">
        <v>44</v>
      </c>
      <c r="C4" s="5" t="s">
        <v>73</v>
      </c>
      <c r="D4" s="5" t="s">
        <v>46</v>
      </c>
      <c r="E4" s="5" t="s">
        <v>70</v>
      </c>
      <c r="F4" s="5" t="s">
        <v>54</v>
      </c>
      <c r="G4" s="5" t="s">
        <v>74</v>
      </c>
      <c r="H4" s="5" t="s">
        <v>19</v>
      </c>
      <c r="I4" s="4" t="s">
        <v>5</v>
      </c>
    </row>
    <row r="5" spans="1:9" ht="55.95" customHeight="1" x14ac:dyDescent="0.3">
      <c r="A5" s="4" t="s">
        <v>75</v>
      </c>
      <c r="B5" s="4" t="s">
        <v>44</v>
      </c>
      <c r="C5" s="5" t="s">
        <v>76</v>
      </c>
      <c r="D5" s="5" t="s">
        <v>77</v>
      </c>
      <c r="E5" s="5" t="s">
        <v>70</v>
      </c>
      <c r="F5" s="5" t="s">
        <v>54</v>
      </c>
      <c r="G5" s="5" t="s">
        <v>78</v>
      </c>
      <c r="H5" s="5" t="s">
        <v>19</v>
      </c>
      <c r="I5" s="4" t="s">
        <v>5</v>
      </c>
    </row>
    <row r="6" spans="1:9" ht="55.95" customHeight="1" x14ac:dyDescent="0.3">
      <c r="A6" s="6" t="s">
        <v>79</v>
      </c>
      <c r="B6" s="6" t="s">
        <v>48</v>
      </c>
      <c r="C6" s="7" t="s">
        <v>80</v>
      </c>
      <c r="D6" s="7" t="s">
        <v>77</v>
      </c>
      <c r="E6" s="7" t="s">
        <v>70</v>
      </c>
      <c r="F6" s="7" t="s">
        <v>54</v>
      </c>
      <c r="G6" s="7" t="s">
        <v>81</v>
      </c>
      <c r="H6" s="7" t="s">
        <v>19</v>
      </c>
      <c r="I6" s="6" t="s">
        <v>82</v>
      </c>
    </row>
    <row r="7" spans="1:9" ht="55.95" customHeight="1" x14ac:dyDescent="0.3">
      <c r="A7" s="6" t="s">
        <v>83</v>
      </c>
      <c r="B7" s="6" t="s">
        <v>48</v>
      </c>
      <c r="C7" s="7" t="s">
        <v>84</v>
      </c>
      <c r="D7" s="7" t="s">
        <v>77</v>
      </c>
      <c r="E7" s="7" t="s">
        <v>70</v>
      </c>
      <c r="F7" s="7" t="s">
        <v>54</v>
      </c>
      <c r="G7" s="7" t="s">
        <v>85</v>
      </c>
      <c r="H7" s="7" t="s">
        <v>19</v>
      </c>
      <c r="I7" s="6" t="s">
        <v>86</v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opLeftCell="F1" workbookViewId="0">
      <selection activeCell="I6" sqref="I6"/>
    </sheetView>
  </sheetViews>
  <sheetFormatPr defaultRowHeight="14.4" x14ac:dyDescent="0.3"/>
  <cols>
    <col min="1" max="1" width="16" customWidth="1"/>
    <col min="2" max="2" width="17.77734375" customWidth="1"/>
    <col min="3" max="3" width="46.33203125" customWidth="1"/>
    <col min="4" max="4" width="28.5546875" customWidth="1"/>
    <col min="5" max="5" width="39.5546875" customWidth="1"/>
    <col min="6" max="6" width="26.6640625" customWidth="1"/>
    <col min="7" max="7" width="27.21875" customWidth="1"/>
    <col min="8" max="8" width="22.5546875" customWidth="1"/>
    <col min="9" max="9" width="16.6640625" customWidth="1"/>
  </cols>
  <sheetData>
    <row r="1" spans="1:9" ht="17.399999999999999" x14ac:dyDescent="0.3">
      <c r="A1" s="24" t="s">
        <v>343</v>
      </c>
      <c r="B1" s="9"/>
      <c r="C1" s="9"/>
      <c r="D1" s="9"/>
      <c r="E1" s="9"/>
      <c r="F1" s="9"/>
      <c r="G1" s="9"/>
      <c r="H1" s="9"/>
      <c r="I1" s="9"/>
    </row>
    <row r="2" spans="1:9" ht="41.4" customHeight="1" x14ac:dyDescent="0.3">
      <c r="A2" s="3" t="s">
        <v>31</v>
      </c>
      <c r="B2" s="3" t="s">
        <v>32</v>
      </c>
      <c r="C2" s="3" t="s">
        <v>33</v>
      </c>
      <c r="D2" s="3" t="s">
        <v>34</v>
      </c>
      <c r="E2" s="3" t="s">
        <v>35</v>
      </c>
      <c r="F2" s="3" t="s">
        <v>36</v>
      </c>
      <c r="G2" s="3" t="s">
        <v>37</v>
      </c>
      <c r="H2" s="3" t="s">
        <v>38</v>
      </c>
      <c r="I2" s="3" t="s">
        <v>39</v>
      </c>
    </row>
    <row r="3" spans="1:9" ht="75.599999999999994" customHeight="1" x14ac:dyDescent="0.3">
      <c r="A3" s="18" t="s">
        <v>107</v>
      </c>
      <c r="B3" s="18" t="s">
        <v>189</v>
      </c>
      <c r="C3" s="19" t="s">
        <v>296</v>
      </c>
      <c r="D3" s="19" t="s">
        <v>297</v>
      </c>
      <c r="E3" s="19" t="s">
        <v>298</v>
      </c>
      <c r="F3" s="19" t="s">
        <v>299</v>
      </c>
      <c r="G3" s="19" t="s">
        <v>300</v>
      </c>
      <c r="H3" s="19" t="s">
        <v>301</v>
      </c>
      <c r="I3" s="18" t="s">
        <v>388</v>
      </c>
    </row>
    <row r="4" spans="1:9" ht="35.4" customHeight="1" x14ac:dyDescent="0.3">
      <c r="A4" s="18" t="s">
        <v>114</v>
      </c>
      <c r="B4" s="18" t="s">
        <v>302</v>
      </c>
      <c r="C4" s="19" t="s">
        <v>303</v>
      </c>
      <c r="D4" s="19" t="s">
        <v>304</v>
      </c>
      <c r="E4" s="19" t="s">
        <v>305</v>
      </c>
      <c r="F4" s="19" t="s">
        <v>306</v>
      </c>
      <c r="G4" s="19" t="s">
        <v>307</v>
      </c>
      <c r="H4" s="19" t="s">
        <v>301</v>
      </c>
      <c r="I4" s="18" t="s">
        <v>388</v>
      </c>
    </row>
    <row r="5" spans="1:9" ht="66.599999999999994" customHeight="1" x14ac:dyDescent="0.3">
      <c r="A5" s="18" t="s">
        <v>117</v>
      </c>
      <c r="B5" s="18" t="s">
        <v>302</v>
      </c>
      <c r="C5" s="19" t="s">
        <v>308</v>
      </c>
      <c r="D5" s="19" t="s">
        <v>304</v>
      </c>
      <c r="E5" s="19" t="s">
        <v>309</v>
      </c>
      <c r="F5" s="19" t="s">
        <v>306</v>
      </c>
      <c r="G5" s="19" t="s">
        <v>310</v>
      </c>
      <c r="H5" s="19" t="s">
        <v>301</v>
      </c>
      <c r="I5" s="18" t="s">
        <v>388</v>
      </c>
    </row>
    <row r="6" spans="1:9" ht="58.2" customHeight="1" x14ac:dyDescent="0.3">
      <c r="A6" s="6" t="s">
        <v>121</v>
      </c>
      <c r="B6" s="6" t="s">
        <v>311</v>
      </c>
      <c r="C6" s="7" t="s">
        <v>312</v>
      </c>
      <c r="D6" s="7" t="s">
        <v>304</v>
      </c>
      <c r="E6" s="7" t="s">
        <v>313</v>
      </c>
      <c r="F6" s="7" t="s">
        <v>306</v>
      </c>
      <c r="G6" s="7" t="s">
        <v>314</v>
      </c>
      <c r="H6" s="7" t="s">
        <v>301</v>
      </c>
      <c r="I6" s="20" t="s">
        <v>391</v>
      </c>
    </row>
    <row r="7" spans="1:9" ht="40.200000000000003" customHeight="1" x14ac:dyDescent="0.3">
      <c r="A7" s="18" t="s">
        <v>126</v>
      </c>
      <c r="B7" s="18" t="s">
        <v>315</v>
      </c>
      <c r="C7" s="19" t="s">
        <v>316</v>
      </c>
      <c r="D7" s="19" t="s">
        <v>304</v>
      </c>
      <c r="E7" s="19" t="s">
        <v>317</v>
      </c>
      <c r="F7" s="19" t="s">
        <v>306</v>
      </c>
      <c r="G7" s="19" t="s">
        <v>318</v>
      </c>
      <c r="H7" s="19" t="s">
        <v>301</v>
      </c>
      <c r="I7" s="18" t="s">
        <v>5</v>
      </c>
    </row>
  </sheetData>
  <mergeCells count="1">
    <mergeCell ref="A1:I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showGridLines="0" topLeftCell="F1" workbookViewId="0">
      <selection sqref="A1:I12"/>
    </sheetView>
  </sheetViews>
  <sheetFormatPr defaultRowHeight="14.4" x14ac:dyDescent="0.3"/>
  <cols>
    <col min="1" max="1" width="16" customWidth="1"/>
    <col min="2" max="2" width="14" customWidth="1"/>
    <col min="3" max="3" width="38" customWidth="1"/>
    <col min="4" max="4" width="32" customWidth="1"/>
    <col min="5" max="6" width="36" customWidth="1"/>
    <col min="7" max="7" width="42" customWidth="1"/>
    <col min="8" max="8" width="24" customWidth="1"/>
    <col min="9" max="9" width="20" customWidth="1"/>
  </cols>
  <sheetData>
    <row r="1" spans="1:9" ht="36" customHeight="1" x14ac:dyDescent="0.3">
      <c r="A1" s="24" t="s">
        <v>344</v>
      </c>
      <c r="B1" s="9"/>
      <c r="C1" s="9"/>
      <c r="D1" s="9"/>
      <c r="E1" s="9"/>
      <c r="F1" s="9"/>
      <c r="G1" s="9"/>
      <c r="H1" s="9"/>
      <c r="I1" s="9"/>
    </row>
    <row r="2" spans="1:9" ht="28.05" customHeight="1" x14ac:dyDescent="0.3">
      <c r="A2" s="3" t="s">
        <v>31</v>
      </c>
      <c r="B2" s="3" t="s">
        <v>32</v>
      </c>
      <c r="C2" s="3" t="s">
        <v>33</v>
      </c>
      <c r="D2" s="3" t="s">
        <v>34</v>
      </c>
      <c r="E2" s="3" t="s">
        <v>35</v>
      </c>
      <c r="F2" s="3" t="s">
        <v>36</v>
      </c>
      <c r="G2" s="3" t="s">
        <v>37</v>
      </c>
      <c r="H2" s="3" t="s">
        <v>38</v>
      </c>
      <c r="I2" s="3" t="s">
        <v>39</v>
      </c>
    </row>
    <row r="3" spans="1:9" ht="55.95" customHeight="1" x14ac:dyDescent="0.3">
      <c r="A3" s="22" t="s">
        <v>319</v>
      </c>
      <c r="B3" s="4" t="s">
        <v>44</v>
      </c>
      <c r="C3" s="5" t="s">
        <v>108</v>
      </c>
      <c r="D3" s="5" t="s">
        <v>109</v>
      </c>
      <c r="E3" s="5" t="s">
        <v>110</v>
      </c>
      <c r="F3" s="5" t="s">
        <v>111</v>
      </c>
      <c r="G3" s="5" t="s">
        <v>112</v>
      </c>
      <c r="H3" s="5" t="s">
        <v>113</v>
      </c>
      <c r="I3" s="4" t="s">
        <v>5</v>
      </c>
    </row>
    <row r="4" spans="1:9" ht="55.95" customHeight="1" x14ac:dyDescent="0.3">
      <c r="A4" s="22" t="s">
        <v>323</v>
      </c>
      <c r="B4" s="4" t="s">
        <v>48</v>
      </c>
      <c r="C4" s="5" t="s">
        <v>118</v>
      </c>
      <c r="D4" s="5" t="s">
        <v>46</v>
      </c>
      <c r="E4" s="5" t="s">
        <v>119</v>
      </c>
      <c r="F4" s="5" t="s">
        <v>120</v>
      </c>
      <c r="G4" s="5" t="s">
        <v>59</v>
      </c>
      <c r="H4" s="5" t="s">
        <v>113</v>
      </c>
      <c r="I4" s="4" t="s">
        <v>5</v>
      </c>
    </row>
    <row r="5" spans="1:9" ht="55.95" customHeight="1" x14ac:dyDescent="0.3">
      <c r="A5" s="22" t="s">
        <v>320</v>
      </c>
      <c r="B5" s="4" t="s">
        <v>48</v>
      </c>
      <c r="C5" s="5" t="s">
        <v>122</v>
      </c>
      <c r="D5" s="5" t="s">
        <v>46</v>
      </c>
      <c r="E5" s="5" t="s">
        <v>123</v>
      </c>
      <c r="F5" s="5" t="s">
        <v>124</v>
      </c>
      <c r="G5" s="5" t="s">
        <v>125</v>
      </c>
      <c r="H5" s="5" t="s">
        <v>113</v>
      </c>
      <c r="I5" s="4" t="s">
        <v>5</v>
      </c>
    </row>
    <row r="6" spans="1:9" ht="55.95" customHeight="1" x14ac:dyDescent="0.3">
      <c r="A6" s="22" t="s">
        <v>321</v>
      </c>
      <c r="B6" s="4" t="s">
        <v>48</v>
      </c>
      <c r="C6" s="5" t="s">
        <v>127</v>
      </c>
      <c r="D6" s="5" t="s">
        <v>46</v>
      </c>
      <c r="E6" s="5" t="s">
        <v>128</v>
      </c>
      <c r="F6" s="5" t="s">
        <v>129</v>
      </c>
      <c r="G6" s="5" t="s">
        <v>130</v>
      </c>
      <c r="H6" s="5" t="s">
        <v>113</v>
      </c>
      <c r="I6" s="4" t="s">
        <v>5</v>
      </c>
    </row>
    <row r="7" spans="1:9" ht="55.95" customHeight="1" x14ac:dyDescent="0.3">
      <c r="A7" s="22" t="s">
        <v>322</v>
      </c>
      <c r="B7" s="4" t="s">
        <v>103</v>
      </c>
      <c r="C7" s="5" t="s">
        <v>131</v>
      </c>
      <c r="D7" s="5" t="s">
        <v>46</v>
      </c>
      <c r="E7" s="5" t="s">
        <v>132</v>
      </c>
      <c r="F7" s="5" t="s">
        <v>133</v>
      </c>
      <c r="G7" s="5" t="s">
        <v>134</v>
      </c>
      <c r="H7" s="5" t="s">
        <v>113</v>
      </c>
      <c r="I7" s="4" t="s">
        <v>5</v>
      </c>
    </row>
    <row r="8" spans="1:9" ht="55.95" customHeight="1" x14ac:dyDescent="0.3">
      <c r="A8" s="22" t="s">
        <v>155</v>
      </c>
      <c r="B8" s="4" t="s">
        <v>44</v>
      </c>
      <c r="C8" s="5" t="s">
        <v>135</v>
      </c>
      <c r="D8" s="5" t="s">
        <v>136</v>
      </c>
      <c r="E8" s="5" t="s">
        <v>115</v>
      </c>
      <c r="F8" s="5" t="s">
        <v>137</v>
      </c>
      <c r="G8" s="5" t="s">
        <v>116</v>
      </c>
      <c r="H8" s="5" t="s">
        <v>138</v>
      </c>
      <c r="I8" s="4" t="s">
        <v>5</v>
      </c>
    </row>
    <row r="9" spans="1:9" ht="55.95" customHeight="1" x14ac:dyDescent="0.3">
      <c r="A9" s="22" t="s">
        <v>162</v>
      </c>
      <c r="B9" s="4" t="s">
        <v>48</v>
      </c>
      <c r="C9" s="5" t="s">
        <v>118</v>
      </c>
      <c r="D9" s="5" t="s">
        <v>46</v>
      </c>
      <c r="E9" s="5" t="s">
        <v>139</v>
      </c>
      <c r="F9" s="5" t="s">
        <v>140</v>
      </c>
      <c r="G9" s="5" t="s">
        <v>141</v>
      </c>
      <c r="H9" s="5" t="s">
        <v>138</v>
      </c>
      <c r="I9" s="4" t="s">
        <v>5</v>
      </c>
    </row>
    <row r="10" spans="1:9" ht="55.95" customHeight="1" x14ac:dyDescent="0.3">
      <c r="A10" s="22" t="s">
        <v>168</v>
      </c>
      <c r="B10" s="4" t="s">
        <v>48</v>
      </c>
      <c r="C10" s="5" t="s">
        <v>142</v>
      </c>
      <c r="D10" s="5" t="s">
        <v>46</v>
      </c>
      <c r="E10" s="5" t="s">
        <v>143</v>
      </c>
      <c r="F10" s="5" t="s">
        <v>124</v>
      </c>
      <c r="G10" s="5" t="s">
        <v>125</v>
      </c>
      <c r="H10" s="5" t="s">
        <v>138</v>
      </c>
      <c r="I10" s="4" t="s">
        <v>5</v>
      </c>
    </row>
    <row r="11" spans="1:9" ht="55.95" customHeight="1" x14ac:dyDescent="0.3">
      <c r="A11" s="22" t="s">
        <v>324</v>
      </c>
      <c r="B11" s="4" t="s">
        <v>48</v>
      </c>
      <c r="C11" s="5" t="s">
        <v>144</v>
      </c>
      <c r="D11" s="5" t="s">
        <v>46</v>
      </c>
      <c r="E11" s="5" t="s">
        <v>145</v>
      </c>
      <c r="F11" s="5" t="s">
        <v>129</v>
      </c>
      <c r="G11" s="5" t="s">
        <v>130</v>
      </c>
      <c r="H11" s="5" t="s">
        <v>138</v>
      </c>
      <c r="I11" s="4" t="s">
        <v>5</v>
      </c>
    </row>
    <row r="12" spans="1:9" ht="55.95" customHeight="1" x14ac:dyDescent="0.3">
      <c r="A12" s="22" t="s">
        <v>325</v>
      </c>
      <c r="B12" s="4" t="s">
        <v>103</v>
      </c>
      <c r="C12" s="5" t="s">
        <v>146</v>
      </c>
      <c r="D12" s="5" t="s">
        <v>46</v>
      </c>
      <c r="E12" s="5" t="s">
        <v>147</v>
      </c>
      <c r="F12" s="5" t="s">
        <v>133</v>
      </c>
      <c r="G12" s="5" t="s">
        <v>148</v>
      </c>
      <c r="H12" s="5" t="s">
        <v>138</v>
      </c>
      <c r="I12" s="4" t="s">
        <v>5</v>
      </c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opLeftCell="E1" zoomScale="85" zoomScaleNormal="85" workbookViewId="0">
      <selection activeCell="I5" sqref="I5"/>
    </sheetView>
  </sheetViews>
  <sheetFormatPr defaultColWidth="29.5546875" defaultRowHeight="14.4" x14ac:dyDescent="0.3"/>
  <sheetData>
    <row r="1" spans="1:9" ht="17.399999999999999" x14ac:dyDescent="0.3">
      <c r="A1" s="24" t="s">
        <v>345</v>
      </c>
      <c r="B1" s="9"/>
      <c r="C1" s="9"/>
      <c r="D1" s="9"/>
      <c r="E1" s="9"/>
      <c r="F1" s="9"/>
      <c r="G1" s="9"/>
      <c r="H1" s="9"/>
      <c r="I1" s="9"/>
    </row>
    <row r="2" spans="1:9" ht="41.4" customHeight="1" x14ac:dyDescent="0.3">
      <c r="A2" s="3" t="s">
        <v>31</v>
      </c>
      <c r="B2" s="3" t="s">
        <v>32</v>
      </c>
      <c r="C2" s="3" t="s">
        <v>33</v>
      </c>
      <c r="D2" s="3" t="s">
        <v>34</v>
      </c>
      <c r="E2" s="3" t="s">
        <v>35</v>
      </c>
      <c r="F2" s="3" t="s">
        <v>36</v>
      </c>
      <c r="G2" s="3" t="s">
        <v>37</v>
      </c>
      <c r="H2" s="3" t="s">
        <v>38</v>
      </c>
      <c r="I2" s="3" t="s">
        <v>39</v>
      </c>
    </row>
    <row r="3" spans="1:9" ht="105.6" x14ac:dyDescent="0.3">
      <c r="A3" s="22" t="s">
        <v>149</v>
      </c>
      <c r="B3" s="4" t="s">
        <v>189</v>
      </c>
      <c r="C3" s="5" t="s">
        <v>326</v>
      </c>
      <c r="D3" s="5" t="s">
        <v>327</v>
      </c>
      <c r="E3" s="5" t="s">
        <v>328</v>
      </c>
      <c r="F3" s="5" t="s">
        <v>329</v>
      </c>
      <c r="G3" s="5" t="s">
        <v>330</v>
      </c>
      <c r="H3" s="5" t="s">
        <v>331</v>
      </c>
      <c r="I3" s="22" t="s">
        <v>389</v>
      </c>
    </row>
    <row r="4" spans="1:9" ht="66" x14ac:dyDescent="0.3">
      <c r="A4" s="22" t="s">
        <v>150</v>
      </c>
      <c r="B4" s="4" t="s">
        <v>332</v>
      </c>
      <c r="C4" s="5" t="s">
        <v>333</v>
      </c>
      <c r="D4" s="5" t="s">
        <v>327</v>
      </c>
      <c r="E4" s="5" t="s">
        <v>334</v>
      </c>
      <c r="F4" s="5" t="s">
        <v>151</v>
      </c>
      <c r="G4" s="5" t="s">
        <v>335</v>
      </c>
      <c r="H4" s="5" t="s">
        <v>331</v>
      </c>
      <c r="I4" s="22" t="s">
        <v>390</v>
      </c>
    </row>
    <row r="5" spans="1:9" ht="79.2" x14ac:dyDescent="0.3">
      <c r="A5" s="22" t="s">
        <v>152</v>
      </c>
      <c r="B5" s="4" t="s">
        <v>336</v>
      </c>
      <c r="C5" s="5" t="s">
        <v>337</v>
      </c>
      <c r="D5" s="5" t="s">
        <v>327</v>
      </c>
      <c r="E5" s="5" t="s">
        <v>338</v>
      </c>
      <c r="F5" s="5" t="s">
        <v>339</v>
      </c>
      <c r="G5" s="5" t="s">
        <v>340</v>
      </c>
      <c r="H5" s="5" t="s">
        <v>331</v>
      </c>
      <c r="I5" s="22" t="s">
        <v>387</v>
      </c>
    </row>
    <row r="6" spans="1:9" ht="66" x14ac:dyDescent="0.3">
      <c r="A6" s="22" t="s">
        <v>153</v>
      </c>
      <c r="B6" s="4" t="s">
        <v>336</v>
      </c>
      <c r="C6" s="5" t="s">
        <v>346</v>
      </c>
      <c r="D6" s="5" t="s">
        <v>327</v>
      </c>
      <c r="E6" s="5" t="s">
        <v>347</v>
      </c>
      <c r="F6" s="5" t="s">
        <v>348</v>
      </c>
      <c r="G6" s="5" t="s">
        <v>349</v>
      </c>
      <c r="H6" s="5" t="s">
        <v>331</v>
      </c>
      <c r="I6" s="22" t="s">
        <v>387</v>
      </c>
    </row>
    <row r="7" spans="1:9" ht="79.2" x14ac:dyDescent="0.3">
      <c r="A7" s="22" t="s">
        <v>154</v>
      </c>
      <c r="B7" s="4" t="s">
        <v>350</v>
      </c>
      <c r="C7" s="5" t="s">
        <v>351</v>
      </c>
      <c r="D7" s="5" t="s">
        <v>352</v>
      </c>
      <c r="E7" s="5" t="s">
        <v>353</v>
      </c>
      <c r="F7" s="5" t="s">
        <v>354</v>
      </c>
      <c r="G7" s="5" t="s">
        <v>355</v>
      </c>
      <c r="H7" s="5" t="s">
        <v>356</v>
      </c>
      <c r="I7" s="22" t="s">
        <v>388</v>
      </c>
    </row>
  </sheetData>
  <mergeCells count="1">
    <mergeCell ref="A1:I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selection activeCell="I3" sqref="I3"/>
    </sheetView>
  </sheetViews>
  <sheetFormatPr defaultRowHeight="14.4" x14ac:dyDescent="0.3"/>
  <cols>
    <col min="1" max="1" width="8.5546875" bestFit="1" customWidth="1"/>
    <col min="4" max="4" width="7.6640625" bestFit="1" customWidth="1"/>
    <col min="5" max="5" width="33.6640625" customWidth="1"/>
    <col min="6" max="6" width="30.77734375" customWidth="1"/>
    <col min="7" max="8" width="15.5546875" customWidth="1"/>
    <col min="9" max="9" width="26.33203125" customWidth="1"/>
  </cols>
  <sheetData>
    <row r="1" spans="1:9" ht="17.399999999999999" x14ac:dyDescent="0.3">
      <c r="A1" s="24" t="s">
        <v>357</v>
      </c>
      <c r="B1" s="9"/>
      <c r="C1" s="9"/>
      <c r="D1" s="9"/>
      <c r="E1" s="9"/>
      <c r="F1" s="9"/>
      <c r="G1" s="9"/>
      <c r="H1" s="9"/>
      <c r="I1" s="9"/>
    </row>
    <row r="2" spans="1:9" ht="41.4" x14ac:dyDescent="0.3">
      <c r="A2" s="3" t="s">
        <v>31</v>
      </c>
      <c r="B2" s="3" t="s">
        <v>32</v>
      </c>
      <c r="C2" s="3" t="s">
        <v>33</v>
      </c>
      <c r="D2" s="3" t="s">
        <v>34</v>
      </c>
      <c r="E2" s="3" t="s">
        <v>35</v>
      </c>
      <c r="F2" s="3" t="s">
        <v>36</v>
      </c>
      <c r="G2" s="3" t="s">
        <v>37</v>
      </c>
      <c r="H2" s="3" t="s">
        <v>38</v>
      </c>
      <c r="I2" s="3" t="s">
        <v>39</v>
      </c>
    </row>
    <row r="3" spans="1:9" ht="79.2" x14ac:dyDescent="0.3">
      <c r="A3" s="22" t="s">
        <v>358</v>
      </c>
      <c r="B3" s="4" t="s">
        <v>189</v>
      </c>
      <c r="C3" s="5" t="s">
        <v>359</v>
      </c>
      <c r="D3" s="5" t="s">
        <v>285</v>
      </c>
      <c r="E3" s="5" t="s">
        <v>360</v>
      </c>
      <c r="F3" s="5" t="s">
        <v>361</v>
      </c>
      <c r="G3" s="5" t="s">
        <v>362</v>
      </c>
      <c r="H3" s="5" t="s">
        <v>363</v>
      </c>
      <c r="I3" s="22" t="s">
        <v>388</v>
      </c>
    </row>
    <row r="4" spans="1:9" ht="92.4" x14ac:dyDescent="0.3">
      <c r="A4" s="22" t="s">
        <v>364</v>
      </c>
      <c r="B4" s="4" t="s">
        <v>332</v>
      </c>
      <c r="C4" s="5" t="s">
        <v>365</v>
      </c>
      <c r="D4" s="5" t="s">
        <v>285</v>
      </c>
      <c r="E4" s="5" t="s">
        <v>366</v>
      </c>
      <c r="F4" s="5" t="s">
        <v>151</v>
      </c>
      <c r="G4" s="5" t="s">
        <v>367</v>
      </c>
      <c r="H4" s="5" t="s">
        <v>363</v>
      </c>
      <c r="I4" s="22" t="s">
        <v>388</v>
      </c>
    </row>
    <row r="5" spans="1:9" ht="52.8" x14ac:dyDescent="0.3">
      <c r="A5" s="22" t="s">
        <v>368</v>
      </c>
      <c r="B5" s="4" t="s">
        <v>336</v>
      </c>
      <c r="C5" s="5" t="s">
        <v>369</v>
      </c>
      <c r="D5" s="5" t="s">
        <v>285</v>
      </c>
      <c r="E5" s="5" t="s">
        <v>370</v>
      </c>
      <c r="F5" s="5" t="s">
        <v>371</v>
      </c>
      <c r="G5" s="5" t="s">
        <v>372</v>
      </c>
      <c r="H5" s="5" t="s">
        <v>363</v>
      </c>
      <c r="I5" s="22" t="s">
        <v>5</v>
      </c>
    </row>
    <row r="6" spans="1:9" ht="52.8" x14ac:dyDescent="0.3">
      <c r="A6" s="22" t="s">
        <v>373</v>
      </c>
      <c r="B6" s="4" t="s">
        <v>336</v>
      </c>
      <c r="C6" s="5" t="s">
        <v>374</v>
      </c>
      <c r="D6" s="5" t="s">
        <v>285</v>
      </c>
      <c r="E6" s="5" t="s">
        <v>375</v>
      </c>
      <c r="F6" s="5" t="s">
        <v>348</v>
      </c>
      <c r="G6" s="5" t="s">
        <v>372</v>
      </c>
      <c r="H6" s="5" t="s">
        <v>363</v>
      </c>
      <c r="I6" s="22" t="s">
        <v>5</v>
      </c>
    </row>
    <row r="7" spans="1:9" ht="79.2" x14ac:dyDescent="0.3">
      <c r="A7" s="22" t="s">
        <v>376</v>
      </c>
      <c r="B7" s="4" t="s">
        <v>377</v>
      </c>
      <c r="C7" s="5" t="s">
        <v>378</v>
      </c>
      <c r="D7" s="5" t="s">
        <v>379</v>
      </c>
      <c r="E7" s="5" t="s">
        <v>380</v>
      </c>
      <c r="F7" s="5" t="s">
        <v>354</v>
      </c>
      <c r="G7" s="5" t="s">
        <v>381</v>
      </c>
      <c r="H7" s="5" t="s">
        <v>382</v>
      </c>
      <c r="I7" s="22" t="s">
        <v>388</v>
      </c>
    </row>
  </sheetData>
  <mergeCells count="1">
    <mergeCell ref="A1:I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showGridLines="0" topLeftCell="E1" workbookViewId="0">
      <selection activeCell="A4" sqref="A4"/>
    </sheetView>
  </sheetViews>
  <sheetFormatPr defaultRowHeight="14.4" x14ac:dyDescent="0.3"/>
  <cols>
    <col min="1" max="1" width="16" customWidth="1"/>
    <col min="2" max="2" width="14" customWidth="1"/>
    <col min="3" max="3" width="38" customWidth="1"/>
    <col min="4" max="4" width="32" customWidth="1"/>
    <col min="5" max="6" width="36" customWidth="1"/>
    <col min="7" max="7" width="42" customWidth="1"/>
    <col min="8" max="8" width="24" customWidth="1"/>
    <col min="9" max="9" width="20" customWidth="1"/>
  </cols>
  <sheetData>
    <row r="1" spans="1:9" ht="36" customHeight="1" x14ac:dyDescent="0.3">
      <c r="A1" s="24" t="s">
        <v>383</v>
      </c>
      <c r="B1" s="9"/>
      <c r="C1" s="9"/>
      <c r="D1" s="9"/>
      <c r="E1" s="9"/>
      <c r="F1" s="9"/>
      <c r="G1" s="9"/>
      <c r="H1" s="9"/>
      <c r="I1" s="9"/>
    </row>
    <row r="2" spans="1:9" ht="28.05" customHeight="1" x14ac:dyDescent="0.3">
      <c r="A2" s="3" t="s">
        <v>31</v>
      </c>
      <c r="B2" s="3" t="s">
        <v>32</v>
      </c>
      <c r="C2" s="3" t="s">
        <v>33</v>
      </c>
      <c r="D2" s="3" t="s">
        <v>34</v>
      </c>
      <c r="E2" s="3" t="s">
        <v>35</v>
      </c>
      <c r="F2" s="3" t="s">
        <v>36</v>
      </c>
      <c r="G2" s="3" t="s">
        <v>37</v>
      </c>
      <c r="H2" s="3" t="s">
        <v>38</v>
      </c>
      <c r="I2" s="3" t="s">
        <v>39</v>
      </c>
    </row>
    <row r="3" spans="1:9" ht="55.95" customHeight="1" x14ac:dyDescent="0.3">
      <c r="A3" s="22" t="s">
        <v>385</v>
      </c>
      <c r="B3" s="4" t="s">
        <v>44</v>
      </c>
      <c r="C3" s="5" t="s">
        <v>156</v>
      </c>
      <c r="D3" s="5" t="s">
        <v>157</v>
      </c>
      <c r="E3" s="5" t="s">
        <v>158</v>
      </c>
      <c r="F3" s="5" t="s">
        <v>159</v>
      </c>
      <c r="G3" s="5" t="s">
        <v>160</v>
      </c>
      <c r="H3" s="5" t="s">
        <v>161</v>
      </c>
      <c r="I3" s="4" t="s">
        <v>5</v>
      </c>
    </row>
    <row r="4" spans="1:9" ht="55.95" customHeight="1" x14ac:dyDescent="0.3">
      <c r="A4" s="22" t="s">
        <v>386</v>
      </c>
      <c r="B4" s="4" t="s">
        <v>44</v>
      </c>
      <c r="C4" s="5" t="s">
        <v>163</v>
      </c>
      <c r="D4" s="5" t="s">
        <v>157</v>
      </c>
      <c r="E4" s="5" t="s">
        <v>164</v>
      </c>
      <c r="F4" s="5" t="s">
        <v>165</v>
      </c>
      <c r="G4" s="5" t="s">
        <v>166</v>
      </c>
      <c r="H4" s="5" t="s">
        <v>167</v>
      </c>
      <c r="I4" s="4" t="s">
        <v>5</v>
      </c>
    </row>
    <row r="5" spans="1:9" ht="55.95" customHeight="1" x14ac:dyDescent="0.3">
      <c r="A5" s="22" t="s">
        <v>384</v>
      </c>
      <c r="B5" s="4" t="s">
        <v>44</v>
      </c>
      <c r="C5" s="5" t="s">
        <v>169</v>
      </c>
      <c r="D5" s="5" t="s">
        <v>157</v>
      </c>
      <c r="E5" s="5" t="s">
        <v>170</v>
      </c>
      <c r="F5" s="5" t="s">
        <v>165</v>
      </c>
      <c r="G5" s="5" t="s">
        <v>171</v>
      </c>
      <c r="H5" s="5" t="s">
        <v>172</v>
      </c>
      <c r="I5" s="4" t="s">
        <v>5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TỔNG QUAN</vt:lpstr>
      <vt:lpstr>A-F-01</vt:lpstr>
      <vt:lpstr>A-F-02</vt:lpstr>
      <vt:lpstr>A-F-03</vt:lpstr>
      <vt:lpstr>A-F-04</vt:lpstr>
      <vt:lpstr>A-F-05</vt:lpstr>
      <vt:lpstr>A-F-06</vt:lpstr>
      <vt:lpstr>A-F-07</vt:lpstr>
      <vt:lpstr>A-F-08+A-F-09</vt:lpstr>
      <vt:lpstr>A-F-10</vt:lpstr>
      <vt:lpstr>A-F-11</vt:lpstr>
      <vt:lpstr>A-F-12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2026-05-03T20:38:31Z</dcterms:created>
  <dcterms:modified xsi:type="dcterms:W3CDTF">2026-05-04T02:28:14Z</dcterms:modified>
</cp:coreProperties>
</file>